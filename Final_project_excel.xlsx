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42D55C8-C6B4-46AB-A6F0-892C7042E1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1.1" sheetId="3" r:id="rId1"/>
    <sheet name="1.2" sheetId="5" r:id="rId2"/>
    <sheet name="Лист1" sheetId="1" r:id="rId3"/>
    <sheet name="Лист2" sheetId="2" r:id="rId4"/>
  </sheet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G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</calcChain>
</file>

<file path=xl/sharedStrings.xml><?xml version="1.0" encoding="utf-8"?>
<sst xmlns="http://schemas.openxmlformats.org/spreadsheetml/2006/main" count="1063" uniqueCount="32">
  <si>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</si>
  <si>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</si>
  <si>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</si>
  <si>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</si>
  <si>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</si>
  <si>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</si>
  <si>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</si>
  <si>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</si>
  <si>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</si>
  <si>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</si>
  <si>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</si>
  <si>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</si>
  <si>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</si>
  <si>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</si>
  <si>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</si>
  <si>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</si>
  <si>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</si>
  <si>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</si>
  <si>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</si>
  <si>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</si>
  <si>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</si>
  <si>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</si>
  <si>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</si>
  <si>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</si>
  <si>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</si>
  <si>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</si>
  <si>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</si>
  <si>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</si>
  <si>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</si>
  <si>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Sum of Товарооборот, руб</t>
  </si>
  <si>
    <t>Column Labels</t>
  </si>
  <si>
    <t>Sum of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</si>
</sst>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numFmt numFmtId="2" formatCode="0.00"/>
    </dxf>
    <dxf>
      <numFmt numFmtId="2" formatCode="0.00"/>
    </dxf>
    <dxf>
      <numFmt numFmtId="2" formatCode="0.00"/>
    </dxf>
    <dxf>
      <numFmt numFmtId="170" formatCode="0.000"/>
    </dxf>
    <dxf>
      <numFmt numFmtId="2" formatCode="0.00"/>
    </dxf>
    <dxf>
      <numFmt numFmtId="170" formatCode="0.000"/>
    </dxf>
    <dxf>
      <numFmt numFmtId="2" formatCode="0.00"/>
    </dxf>
    <dxf>
      <numFmt numFmtId="2" formatCode="0.00"/>
    </dxf>
    <dxf>
      <numFmt numFmtId="169" formatCode="0.0"/>
    </dxf>
    <dxf>
      <numFmt numFmtId="169" formatCode="0.0"/>
    </dxf>
    <dxf>
      <numFmt numFmtId="1" formatCode="0"/>
    </dxf>
    <dxf>
      <numFmt numFmtId="1" formatCode="0"/>
    </dxf>
    <dxf>
      <numFmt numFmtId="169" formatCode="0.0"/>
    </dxf>
    <dxf>
      <numFmt numFmtId="169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[Final_project_excel.xlsx]1.2!PivotTable6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'1.2'!$B$3</c:f>
              <c:strCache>
                <c:ptCount val="1"/>
                <c:pt idx="0">
                  <c:v>Sum of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C-4730-93CB-EE3A8007D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2589231"/>
        <c:axId val="250685727"/>
      </c:barChart>
      <c:lineChart>
        <c:grouping val="standard"/>
        <c:varyColors val="0"/>
        <c:ser>
          <c:idx val="1"/>
          <c:order val="1"/>
          <c:tx>
            <c:strRef>
              <c:f>'1.2'!$C$3</c:f>
              <c:strCache>
                <c:ptCount val="1"/>
                <c:pt idx="0">
                  <c:v>Sum of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'1.2'!$C$4:$C$10</c:f>
              <c:numCache>
                <c:formatCode>0.00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C-4730-93CB-EE3A8007D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286559"/>
        <c:axId val="117548287"/>
      </c:lineChart>
      <c:catAx>
        <c:axId val="55258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85727"/>
        <c:crosses val="autoZero"/>
        <c:auto val="1"/>
        <c:lblAlgn val="ctr"/>
        <c:lblOffset val="100"/>
        <c:noMultiLvlLbl val="0"/>
      </c:catAx>
      <c:valAx>
        <c:axId val="2506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89231"/>
        <c:crosses val="autoZero"/>
        <c:crossBetween val="between"/>
      </c:valAx>
      <c:valAx>
        <c:axId val="117548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86559"/>
        <c:crosses val="max"/>
        <c:crossBetween val="between"/>
      </c:valAx>
      <c:catAx>
        <c:axId val="483286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5482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171450</xdr:rowOff>
    </xdr:from>
    <xdr:to>
      <xdr:col>4</xdr:col>
      <xdr:colOff>1920240</xdr:colOff>
      <xdr:row>32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4EF0F-F3F4-C77F-869C-BAC146763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293.514655671293" createdVersion="8" refreshedVersion="8" minRefreshableVersion="3" recordCount="504" xr:uid="{DA9884FE-CA5F-43A3-99C6-B49954044AC1}">
  <cacheSource type="worksheet">
    <worksheetSource ref="A1:I505" sheet="Лист1"/>
  </cacheSource>
  <cacheFields count="11">
    <cacheField name="Дата" numFmtId="16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1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2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Days (Дата)" numFmtId="0" databaseField="0">
      <fieldGroup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Months (Дата)" numFmtId="0" databaseField="0">
      <fieldGroup base="0">
        <rangePr groupBy="months" startDate="2020-04-28T00:00:00" endDate="2020-06-02T00:00:00"/>
        <groupItems count="14">
          <s v="&lt;28.04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944"/>
    <n v="623971.5"/>
    <n v="15"/>
    <n v="441"/>
    <n v="368"/>
    <n v="41598.1"/>
    <x v="0"/>
  </r>
  <r>
    <x v="1"/>
    <x v="0"/>
    <n v="10029"/>
    <n v="787101"/>
    <n v="15"/>
    <n v="490"/>
    <n v="409"/>
    <n v="52473.4"/>
    <x v="0"/>
  </r>
  <r>
    <x v="2"/>
    <x v="0"/>
    <n v="8536.5"/>
    <n v="643944"/>
    <n v="15"/>
    <n v="464"/>
    <n v="390"/>
    <n v="42929.599999999999"/>
    <x v="0"/>
  </r>
  <r>
    <x v="3"/>
    <x v="1"/>
    <n v="38947.5"/>
    <n v="3395892"/>
    <n v="21"/>
    <n v="2145"/>
    <n v="1947"/>
    <n v="161709.14285714287"/>
    <x v="1"/>
  </r>
  <r>
    <x v="4"/>
    <x v="1"/>
    <n v="31842"/>
    <n v="2771116.5"/>
    <n v="21"/>
    <n v="1860"/>
    <n v="1704"/>
    <n v="131957.92857142858"/>
    <x v="2"/>
  </r>
  <r>
    <x v="5"/>
    <x v="1"/>
    <n v="32023.5"/>
    <n v="2882458.5"/>
    <n v="21"/>
    <n v="1874"/>
    <n v="1705"/>
    <n v="137259.92857142858"/>
    <x v="1"/>
  </r>
  <r>
    <x v="6"/>
    <x v="1"/>
    <n v="31147.5"/>
    <n v="2831019"/>
    <n v="21"/>
    <n v="1735"/>
    <n v="1568"/>
    <n v="134810.42857142858"/>
    <x v="3"/>
  </r>
  <r>
    <x v="7"/>
    <x v="1"/>
    <n v="25566"/>
    <n v="2372310"/>
    <n v="20"/>
    <n v="1519"/>
    <n v="1372"/>
    <n v="118615.5"/>
    <x v="3"/>
  </r>
  <r>
    <x v="8"/>
    <x v="1"/>
    <n v="29319"/>
    <n v="2623480.5"/>
    <n v="18"/>
    <n v="1684"/>
    <n v="1528"/>
    <n v="145748.91666666666"/>
    <x v="4"/>
  </r>
  <r>
    <x v="9"/>
    <x v="1"/>
    <n v="29031"/>
    <n v="2711247"/>
    <n v="18"/>
    <n v="1708"/>
    <n v="1534"/>
    <n v="150624.83333333334"/>
    <x v="4"/>
  </r>
  <r>
    <x v="10"/>
    <x v="1"/>
    <n v="33423"/>
    <n v="2970330"/>
    <n v="20"/>
    <n v="2044"/>
    <n v="1863"/>
    <n v="148516.5"/>
    <x v="0"/>
  </r>
  <r>
    <x v="11"/>
    <x v="1"/>
    <n v="32487"/>
    <n v="3031254"/>
    <n v="18"/>
    <n v="1826"/>
    <n v="1633"/>
    <n v="168403"/>
    <x v="4"/>
  </r>
  <r>
    <x v="12"/>
    <x v="1"/>
    <n v="28219.5"/>
    <n v="2595778.5"/>
    <n v="21"/>
    <n v="1656"/>
    <n v="1516"/>
    <n v="123608.5"/>
    <x v="1"/>
  </r>
  <r>
    <x v="13"/>
    <x v="1"/>
    <n v="31272"/>
    <n v="2744382"/>
    <n v="21"/>
    <n v="1787"/>
    <n v="1626"/>
    <n v="130684.85714285714"/>
    <x v="2"/>
  </r>
  <r>
    <x v="14"/>
    <x v="1"/>
    <n v="34077"/>
    <n v="2929330.5"/>
    <n v="21"/>
    <n v="1921"/>
    <n v="1767"/>
    <n v="139491.92857142858"/>
    <x v="2"/>
  </r>
  <r>
    <x v="15"/>
    <x v="1"/>
    <n v="31566"/>
    <n v="2906763"/>
    <n v="20"/>
    <n v="1773"/>
    <n v="1604"/>
    <n v="145338.15"/>
    <x v="3"/>
  </r>
  <r>
    <x v="16"/>
    <x v="1"/>
    <n v="26940"/>
    <n v="2411587.5"/>
    <n v="18"/>
    <n v="1539"/>
    <n v="1404"/>
    <n v="133977.08333333334"/>
    <x v="4"/>
  </r>
  <r>
    <x v="17"/>
    <x v="1"/>
    <n v="29241"/>
    <n v="2629782"/>
    <n v="21"/>
    <n v="1698"/>
    <n v="1554"/>
    <n v="125227.71428571429"/>
    <x v="1"/>
  </r>
  <r>
    <x v="18"/>
    <x v="1"/>
    <n v="26082"/>
    <n v="2434914"/>
    <n v="20"/>
    <n v="1520"/>
    <n v="1373"/>
    <n v="121745.7"/>
    <x v="4"/>
  </r>
  <r>
    <x v="19"/>
    <x v="1"/>
    <n v="32511"/>
    <n v="2938623"/>
    <n v="20"/>
    <n v="1784"/>
    <n v="1632"/>
    <n v="146931.15"/>
    <x v="3"/>
  </r>
  <r>
    <x v="20"/>
    <x v="1"/>
    <n v="42703.5"/>
    <n v="3628726.5"/>
    <n v="21"/>
    <n v="2340"/>
    <n v="2146"/>
    <n v="172796.5"/>
    <x v="2"/>
  </r>
  <r>
    <x v="21"/>
    <x v="1"/>
    <n v="35592"/>
    <n v="3176580"/>
    <n v="20"/>
    <n v="2087"/>
    <n v="1914"/>
    <n v="158829"/>
    <x v="0"/>
  </r>
  <r>
    <x v="22"/>
    <x v="1"/>
    <n v="30445.5"/>
    <n v="2817196.5"/>
    <n v="19"/>
    <n v="1712"/>
    <n v="1552"/>
    <n v="148273.5"/>
    <x v="4"/>
  </r>
  <r>
    <x v="23"/>
    <x v="1"/>
    <n v="36619.5"/>
    <n v="3312967.5"/>
    <n v="21"/>
    <n v="2016"/>
    <n v="1846"/>
    <n v="157760.35714285713"/>
    <x v="3"/>
  </r>
  <r>
    <x v="24"/>
    <x v="1"/>
    <n v="29409"/>
    <n v="2645160"/>
    <n v="21"/>
    <n v="1646"/>
    <n v="1492"/>
    <n v="125960"/>
    <x v="3"/>
  </r>
  <r>
    <x v="25"/>
    <x v="1"/>
    <n v="27018"/>
    <n v="2472213"/>
    <n v="21"/>
    <n v="1542"/>
    <n v="1405"/>
    <n v="117724.42857142857"/>
    <x v="3"/>
  </r>
  <r>
    <x v="26"/>
    <x v="1"/>
    <n v="34303.5"/>
    <n v="2924746.5"/>
    <n v="20"/>
    <n v="1999"/>
    <n v="1829"/>
    <n v="146237.32500000001"/>
    <x v="2"/>
  </r>
  <r>
    <x v="0"/>
    <x v="1"/>
    <n v="36999"/>
    <n v="3473895"/>
    <n v="21"/>
    <n v="2271"/>
    <n v="2085"/>
    <n v="165423.57142857142"/>
    <x v="0"/>
  </r>
  <r>
    <x v="1"/>
    <x v="1"/>
    <n v="44001"/>
    <n v="3921784.5"/>
    <n v="20"/>
    <n v="2597"/>
    <n v="2376"/>
    <n v="196089.22500000001"/>
    <x v="0"/>
  </r>
  <r>
    <x v="2"/>
    <x v="1"/>
    <n v="30982.5"/>
    <n v="2827773"/>
    <n v="20"/>
    <n v="1886"/>
    <n v="1736"/>
    <n v="141388.65"/>
    <x v="0"/>
  </r>
  <r>
    <x v="3"/>
    <x v="2"/>
    <n v="88063.5"/>
    <n v="7583758.5"/>
    <n v="31"/>
    <n v="5593"/>
    <n v="5177"/>
    <n v="244637.37096774194"/>
    <x v="1"/>
  </r>
  <r>
    <x v="4"/>
    <x v="2"/>
    <n v="84024"/>
    <n v="6815511"/>
    <n v="31"/>
    <n v="5389"/>
    <n v="5024"/>
    <n v="219855.19354838709"/>
    <x v="2"/>
  </r>
  <r>
    <x v="5"/>
    <x v="2"/>
    <n v="78057"/>
    <n v="6774946.5"/>
    <n v="31"/>
    <n v="5206"/>
    <n v="4843"/>
    <n v="218546.66129032258"/>
    <x v="1"/>
  </r>
  <r>
    <x v="6"/>
    <x v="2"/>
    <n v="69720"/>
    <n v="6264933"/>
    <n v="31"/>
    <n v="4556"/>
    <n v="4220"/>
    <n v="202094.61290322582"/>
    <x v="3"/>
  </r>
  <r>
    <x v="7"/>
    <x v="2"/>
    <n v="72928.5"/>
    <n v="6642249"/>
    <n v="31"/>
    <n v="4968"/>
    <n v="4596"/>
    <n v="214266.09677419355"/>
    <x v="3"/>
  </r>
  <r>
    <x v="8"/>
    <x v="2"/>
    <n v="79527"/>
    <n v="7180498.5"/>
    <n v="31"/>
    <n v="5378"/>
    <n v="4985"/>
    <n v="231628.98387096773"/>
    <x v="4"/>
  </r>
  <r>
    <x v="9"/>
    <x v="2"/>
    <n v="60463.5"/>
    <n v="5554192.5"/>
    <n v="31"/>
    <n v="4157"/>
    <n v="3823"/>
    <n v="179167.5"/>
    <x v="4"/>
  </r>
  <r>
    <x v="10"/>
    <x v="2"/>
    <n v="79975.5"/>
    <n v="6676459.5"/>
    <n v="31"/>
    <n v="5493"/>
    <n v="5119"/>
    <n v="215369.66129032258"/>
    <x v="0"/>
  </r>
  <r>
    <x v="11"/>
    <x v="2"/>
    <n v="97534.5"/>
    <n v="8893024.5"/>
    <n v="31"/>
    <n v="6118"/>
    <n v="5564"/>
    <n v="286871.75806451612"/>
    <x v="4"/>
  </r>
  <r>
    <x v="12"/>
    <x v="2"/>
    <n v="71520"/>
    <n v="6398361"/>
    <n v="31"/>
    <n v="4800"/>
    <n v="4470"/>
    <n v="206398.74193548388"/>
    <x v="1"/>
  </r>
  <r>
    <x v="13"/>
    <x v="2"/>
    <n v="79485"/>
    <n v="6633847.5"/>
    <n v="31"/>
    <n v="5207"/>
    <n v="4868"/>
    <n v="213995.0806451613"/>
    <x v="2"/>
  </r>
  <r>
    <x v="14"/>
    <x v="2"/>
    <n v="93313.5"/>
    <n v="7247575.5"/>
    <n v="31"/>
    <n v="5698"/>
    <n v="5258"/>
    <n v="233792.75806451612"/>
    <x v="2"/>
  </r>
  <r>
    <x v="15"/>
    <x v="2"/>
    <n v="76585.5"/>
    <n v="6921316.5"/>
    <n v="31"/>
    <n v="5188"/>
    <n v="4800"/>
    <n v="223268.27419354839"/>
    <x v="3"/>
  </r>
  <r>
    <x v="16"/>
    <x v="2"/>
    <n v="81826.5"/>
    <n v="7163644.5"/>
    <n v="31"/>
    <n v="5465"/>
    <n v="5096"/>
    <n v="231085.30645161291"/>
    <x v="4"/>
  </r>
  <r>
    <x v="17"/>
    <x v="2"/>
    <n v="78846"/>
    <n v="6993952.5"/>
    <n v="31"/>
    <n v="5251"/>
    <n v="4853"/>
    <n v="225611.37096774194"/>
    <x v="1"/>
  </r>
  <r>
    <x v="18"/>
    <x v="2"/>
    <n v="77263.5"/>
    <n v="7013670"/>
    <n v="31"/>
    <n v="5155"/>
    <n v="4762"/>
    <n v="226247.4193548387"/>
    <x v="4"/>
  </r>
  <r>
    <x v="19"/>
    <x v="2"/>
    <n v="68994"/>
    <n v="6168657"/>
    <n v="31"/>
    <n v="4709"/>
    <n v="4348"/>
    <n v="198988.93548387097"/>
    <x v="3"/>
  </r>
  <r>
    <x v="20"/>
    <x v="2"/>
    <n v="102889.5"/>
    <n v="8089143"/>
    <n v="31"/>
    <n v="6276"/>
    <n v="5801"/>
    <n v="260940.09677419355"/>
    <x v="2"/>
  </r>
  <r>
    <x v="21"/>
    <x v="2"/>
    <n v="76999.5"/>
    <n v="6645603"/>
    <n v="31"/>
    <n v="5210"/>
    <n v="4841"/>
    <n v="214374.29032258064"/>
    <x v="0"/>
  </r>
  <r>
    <x v="22"/>
    <x v="2"/>
    <n v="77565"/>
    <n v="7023727.5"/>
    <n v="31"/>
    <n v="5120"/>
    <n v="4737"/>
    <n v="226571.85483870967"/>
    <x v="4"/>
  </r>
  <r>
    <x v="23"/>
    <x v="2"/>
    <n v="84132"/>
    <n v="7483194"/>
    <n v="31"/>
    <n v="5495"/>
    <n v="5093"/>
    <n v="241393.35483870967"/>
    <x v="3"/>
  </r>
  <r>
    <x v="24"/>
    <x v="2"/>
    <n v="69544.5"/>
    <n v="6293776.5"/>
    <n v="31"/>
    <n v="4635"/>
    <n v="4266"/>
    <n v="203025.04838709679"/>
    <x v="3"/>
  </r>
  <r>
    <x v="25"/>
    <x v="2"/>
    <n v="73204.5"/>
    <n v="6591883.5"/>
    <n v="31"/>
    <n v="4903"/>
    <n v="4527"/>
    <n v="212641.40322580645"/>
    <x v="3"/>
  </r>
  <r>
    <x v="26"/>
    <x v="2"/>
    <n v="76663.5"/>
    <n v="6451032"/>
    <n v="31"/>
    <n v="5035"/>
    <n v="4683"/>
    <n v="208097.80645161291"/>
    <x v="2"/>
  </r>
  <r>
    <x v="3"/>
    <x v="3"/>
    <n v="14265"/>
    <n v="1130506.5"/>
    <n v="10"/>
    <n v="760"/>
    <n v="672"/>
    <n v="113050.65"/>
    <x v="1"/>
  </r>
  <r>
    <x v="4"/>
    <x v="3"/>
    <n v="11526"/>
    <n v="938764.5"/>
    <n v="10"/>
    <n v="649"/>
    <n v="568"/>
    <n v="93876.45"/>
    <x v="2"/>
  </r>
  <r>
    <x v="5"/>
    <x v="3"/>
    <n v="10402.5"/>
    <n v="843727.5"/>
    <n v="10"/>
    <n v="591"/>
    <n v="513"/>
    <n v="84372.75"/>
    <x v="1"/>
  </r>
  <r>
    <x v="6"/>
    <x v="3"/>
    <n v="13216.5"/>
    <n v="1046400"/>
    <n v="10"/>
    <n v="644"/>
    <n v="559"/>
    <n v="104640"/>
    <x v="3"/>
  </r>
  <r>
    <x v="7"/>
    <x v="3"/>
    <n v="9130.5"/>
    <n v="728890.5"/>
    <n v="10"/>
    <n v="462"/>
    <n v="396"/>
    <n v="72889.05"/>
    <x v="3"/>
  </r>
  <r>
    <x v="8"/>
    <x v="3"/>
    <n v="10840.5"/>
    <n v="797919"/>
    <n v="10"/>
    <n v="502"/>
    <n v="433"/>
    <n v="79791.899999999994"/>
    <x v="4"/>
  </r>
  <r>
    <x v="9"/>
    <x v="3"/>
    <n v="7866"/>
    <n v="617881.5"/>
    <n v="10"/>
    <n v="416"/>
    <n v="341"/>
    <n v="61788.15"/>
    <x v="4"/>
  </r>
  <r>
    <x v="10"/>
    <x v="3"/>
    <n v="11835"/>
    <n v="983109"/>
    <n v="10"/>
    <n v="692"/>
    <n v="601"/>
    <n v="98310.9"/>
    <x v="0"/>
  </r>
  <r>
    <x v="11"/>
    <x v="3"/>
    <n v="11619"/>
    <n v="891139.5"/>
    <n v="10"/>
    <n v="554"/>
    <n v="472"/>
    <n v="89113.95"/>
    <x v="4"/>
  </r>
  <r>
    <x v="12"/>
    <x v="3"/>
    <n v="9328.5"/>
    <n v="732964.5"/>
    <n v="10"/>
    <n v="526"/>
    <n v="448"/>
    <n v="73296.45"/>
    <x v="1"/>
  </r>
  <r>
    <x v="13"/>
    <x v="3"/>
    <n v="11250"/>
    <n v="935523"/>
    <n v="10"/>
    <n v="677"/>
    <n v="591"/>
    <n v="93552.3"/>
    <x v="2"/>
  </r>
  <r>
    <x v="14"/>
    <x v="3"/>
    <n v="13063.5"/>
    <n v="1037247"/>
    <n v="10"/>
    <n v="745"/>
    <n v="654"/>
    <n v="103724.7"/>
    <x v="2"/>
  </r>
  <r>
    <x v="15"/>
    <x v="3"/>
    <n v="10147.5"/>
    <n v="793320"/>
    <n v="10"/>
    <n v="511"/>
    <n v="437"/>
    <n v="79332"/>
    <x v="3"/>
  </r>
  <r>
    <x v="16"/>
    <x v="3"/>
    <n v="12331.5"/>
    <n v="869983.5"/>
    <n v="10"/>
    <n v="580"/>
    <n v="506"/>
    <n v="86998.35"/>
    <x v="4"/>
  </r>
  <r>
    <x v="17"/>
    <x v="3"/>
    <n v="11202"/>
    <n v="865714.5"/>
    <n v="10"/>
    <n v="612"/>
    <n v="530"/>
    <n v="86571.45"/>
    <x v="1"/>
  </r>
  <r>
    <x v="0"/>
    <x v="2"/>
    <n v="89149.5"/>
    <n v="7512646.5"/>
    <n v="31"/>
    <n v="5760"/>
    <n v="5367"/>
    <n v="242343.43548387097"/>
    <x v="0"/>
  </r>
  <r>
    <x v="18"/>
    <x v="3"/>
    <n v="8185.5"/>
    <n v="637881"/>
    <n v="10"/>
    <n v="402"/>
    <n v="333"/>
    <n v="63788.1"/>
    <x v="4"/>
  </r>
  <r>
    <x v="1"/>
    <x v="2"/>
    <n v="108123"/>
    <n v="9164707.5"/>
    <n v="31"/>
    <n v="6735"/>
    <n v="6264"/>
    <n v="295635.72580645164"/>
    <x v="0"/>
  </r>
  <r>
    <x v="19"/>
    <x v="3"/>
    <n v="9210"/>
    <n v="696832.5"/>
    <n v="10"/>
    <n v="465"/>
    <n v="390"/>
    <n v="69683.25"/>
    <x v="3"/>
  </r>
  <r>
    <x v="20"/>
    <x v="3"/>
    <n v="14773.5"/>
    <n v="1241383.5"/>
    <n v="10"/>
    <n v="828"/>
    <n v="734"/>
    <n v="124138.35"/>
    <x v="2"/>
  </r>
  <r>
    <x v="2"/>
    <x v="2"/>
    <n v="78141"/>
    <n v="6641569.5"/>
    <n v="31"/>
    <n v="5355"/>
    <n v="4969"/>
    <n v="214244.17741935485"/>
    <x v="0"/>
  </r>
  <r>
    <x v="21"/>
    <x v="3"/>
    <n v="12280.5"/>
    <n v="1030440"/>
    <n v="10"/>
    <n v="739"/>
    <n v="642"/>
    <n v="103044"/>
    <x v="0"/>
  </r>
  <r>
    <x v="22"/>
    <x v="3"/>
    <n v="8934"/>
    <n v="716196"/>
    <n v="10"/>
    <n v="448"/>
    <n v="376"/>
    <n v="71619.600000000006"/>
    <x v="4"/>
  </r>
  <r>
    <x v="23"/>
    <x v="3"/>
    <n v="12918"/>
    <n v="1004788.5"/>
    <n v="10"/>
    <n v="642"/>
    <n v="556"/>
    <n v="100478.85"/>
    <x v="3"/>
  </r>
  <r>
    <x v="24"/>
    <x v="3"/>
    <n v="12528"/>
    <n v="959703"/>
    <n v="10"/>
    <n v="638"/>
    <n v="547"/>
    <n v="95970.3"/>
    <x v="3"/>
  </r>
  <r>
    <x v="25"/>
    <x v="3"/>
    <n v="11029.5"/>
    <n v="863754"/>
    <n v="10"/>
    <n v="563"/>
    <n v="486"/>
    <n v="86375.4"/>
    <x v="3"/>
  </r>
  <r>
    <x v="26"/>
    <x v="3"/>
    <n v="9994.5"/>
    <n v="828984"/>
    <n v="10"/>
    <n v="639"/>
    <n v="557"/>
    <n v="82898.399999999994"/>
    <x v="2"/>
  </r>
  <r>
    <x v="0"/>
    <x v="3"/>
    <n v="12724.5"/>
    <n v="1045515"/>
    <n v="10"/>
    <n v="749"/>
    <n v="655"/>
    <n v="104551.5"/>
    <x v="0"/>
  </r>
  <r>
    <x v="1"/>
    <x v="3"/>
    <n v="14728.5"/>
    <n v="1260483"/>
    <n v="10"/>
    <n v="865"/>
    <n v="763"/>
    <n v="126048.3"/>
    <x v="0"/>
  </r>
  <r>
    <x v="2"/>
    <x v="3"/>
    <n v="13038"/>
    <n v="1114552.5"/>
    <n v="10"/>
    <n v="791"/>
    <n v="697"/>
    <n v="111455.25"/>
    <x v="0"/>
  </r>
  <r>
    <x v="3"/>
    <x v="4"/>
    <n v="35482.5"/>
    <n v="3222517.5"/>
    <n v="19"/>
    <n v="2080"/>
    <n v="1844"/>
    <n v="169606.18421052632"/>
    <x v="1"/>
  </r>
  <r>
    <x v="4"/>
    <x v="4"/>
    <n v="32434.5"/>
    <n v="2865337.5"/>
    <n v="19"/>
    <n v="1999"/>
    <n v="1799"/>
    <n v="150807.23684210525"/>
    <x v="2"/>
  </r>
  <r>
    <x v="5"/>
    <x v="4"/>
    <n v="30486"/>
    <n v="2694289.5"/>
    <n v="19"/>
    <n v="1871"/>
    <n v="1660"/>
    <n v="141804.71052631579"/>
    <x v="1"/>
  </r>
  <r>
    <x v="6"/>
    <x v="4"/>
    <n v="32079"/>
    <n v="2902167"/>
    <n v="19"/>
    <n v="1851"/>
    <n v="1635"/>
    <n v="152745.63157894736"/>
    <x v="3"/>
  </r>
  <r>
    <x v="7"/>
    <x v="4"/>
    <n v="27072"/>
    <n v="2450968.5"/>
    <n v="19"/>
    <n v="1582"/>
    <n v="1403"/>
    <n v="128998.34210526316"/>
    <x v="3"/>
  </r>
  <r>
    <x v="8"/>
    <x v="4"/>
    <n v="25917"/>
    <n v="2397588"/>
    <n v="18"/>
    <n v="1534"/>
    <n v="1369"/>
    <n v="133199.33333333334"/>
    <x v="4"/>
  </r>
  <r>
    <x v="9"/>
    <x v="4"/>
    <n v="19461"/>
    <n v="1799230.5"/>
    <n v="19"/>
    <n v="1217"/>
    <n v="1048"/>
    <n v="94696.34210526316"/>
    <x v="4"/>
  </r>
  <r>
    <x v="10"/>
    <x v="4"/>
    <n v="31407"/>
    <n v="2907411"/>
    <n v="20"/>
    <n v="2036"/>
    <n v="1790"/>
    <n v="145370.54999999999"/>
    <x v="0"/>
  </r>
  <r>
    <x v="11"/>
    <x v="4"/>
    <n v="25792.5"/>
    <n v="2374356"/>
    <n v="19"/>
    <n v="1497"/>
    <n v="1291"/>
    <n v="124966.10526315789"/>
    <x v="4"/>
  </r>
  <r>
    <x v="12"/>
    <x v="4"/>
    <n v="26032.5"/>
    <n v="2370432"/>
    <n v="19"/>
    <n v="1649"/>
    <n v="1460"/>
    <n v="124759.57894736843"/>
    <x v="1"/>
  </r>
  <r>
    <x v="13"/>
    <x v="4"/>
    <n v="31707"/>
    <n v="2853181.5"/>
    <n v="19"/>
    <n v="1949"/>
    <n v="1724"/>
    <n v="150167.44736842104"/>
    <x v="2"/>
  </r>
  <r>
    <x v="14"/>
    <x v="4"/>
    <n v="29955"/>
    <n v="2692230"/>
    <n v="19"/>
    <n v="1889"/>
    <n v="1690"/>
    <n v="141696.31578947368"/>
    <x v="2"/>
  </r>
  <r>
    <x v="15"/>
    <x v="4"/>
    <n v="22848"/>
    <n v="2079900"/>
    <n v="19"/>
    <n v="1417"/>
    <n v="1245"/>
    <n v="109468.42105263157"/>
    <x v="3"/>
  </r>
  <r>
    <x v="16"/>
    <x v="4"/>
    <n v="23314.5"/>
    <n v="2136817.5"/>
    <n v="17"/>
    <n v="1439"/>
    <n v="1265"/>
    <n v="125695.14705882352"/>
    <x v="4"/>
  </r>
  <r>
    <x v="17"/>
    <x v="4"/>
    <n v="26464.5"/>
    <n v="2373337.5"/>
    <n v="19"/>
    <n v="1625"/>
    <n v="1444"/>
    <n v="124912.5"/>
    <x v="1"/>
  </r>
  <r>
    <x v="18"/>
    <x v="4"/>
    <n v="23539.5"/>
    <n v="2170309.5"/>
    <n v="19"/>
    <n v="1402"/>
    <n v="1234"/>
    <n v="114226.81578947368"/>
    <x v="4"/>
  </r>
  <r>
    <x v="19"/>
    <x v="4"/>
    <n v="24678"/>
    <n v="2232519"/>
    <n v="19"/>
    <n v="1499"/>
    <n v="1323"/>
    <n v="117501"/>
    <x v="3"/>
  </r>
  <r>
    <x v="20"/>
    <x v="4"/>
    <n v="38176.5"/>
    <n v="3385372.5"/>
    <n v="20"/>
    <n v="2266"/>
    <n v="1993"/>
    <n v="169268.625"/>
    <x v="2"/>
  </r>
  <r>
    <x v="21"/>
    <x v="4"/>
    <n v="30603"/>
    <n v="2865727.5"/>
    <n v="20"/>
    <n v="2011"/>
    <n v="1791"/>
    <n v="143286.375"/>
    <x v="0"/>
  </r>
  <r>
    <x v="22"/>
    <x v="4"/>
    <n v="24211.5"/>
    <n v="2267664"/>
    <n v="19"/>
    <n v="1499"/>
    <n v="1322"/>
    <n v="119350.73684210527"/>
    <x v="4"/>
  </r>
  <r>
    <x v="23"/>
    <x v="4"/>
    <n v="31399.5"/>
    <n v="2862298.5"/>
    <n v="19"/>
    <n v="1848"/>
    <n v="1649"/>
    <n v="150647.28947368421"/>
    <x v="3"/>
  </r>
  <r>
    <x v="24"/>
    <x v="4"/>
    <n v="25294.5"/>
    <n v="2271454.5"/>
    <n v="19"/>
    <n v="1522"/>
    <n v="1340"/>
    <n v="119550.23684210527"/>
    <x v="3"/>
  </r>
  <r>
    <x v="25"/>
    <x v="4"/>
    <n v="25468.5"/>
    <n v="2350672.5"/>
    <n v="19"/>
    <n v="1530"/>
    <n v="1338"/>
    <n v="123719.60526315789"/>
    <x v="3"/>
  </r>
  <r>
    <x v="26"/>
    <x v="4"/>
    <n v="31854"/>
    <n v="2915533.5"/>
    <n v="20"/>
    <n v="2015"/>
    <n v="1803"/>
    <n v="145776.67499999999"/>
    <x v="2"/>
  </r>
  <r>
    <x v="0"/>
    <x v="4"/>
    <n v="32359.5"/>
    <n v="2991999"/>
    <n v="20"/>
    <n v="2060"/>
    <n v="1826"/>
    <n v="149599.95000000001"/>
    <x v="0"/>
  </r>
  <r>
    <x v="1"/>
    <x v="4"/>
    <n v="39867"/>
    <n v="3654166.5"/>
    <n v="20"/>
    <n v="2451"/>
    <n v="2178"/>
    <n v="182708.32500000001"/>
    <x v="0"/>
  </r>
  <r>
    <x v="2"/>
    <x v="4"/>
    <n v="31974"/>
    <n v="3004213.5"/>
    <n v="20"/>
    <n v="2088"/>
    <n v="1848"/>
    <n v="150210.67499999999"/>
    <x v="0"/>
  </r>
  <r>
    <x v="3"/>
    <x v="5"/>
    <n v="321412.5"/>
    <n v="32235864"/>
    <n v="129"/>
    <n v="17914"/>
    <n v="16631"/>
    <n v="249890.41860465117"/>
    <x v="1"/>
  </r>
  <r>
    <x v="4"/>
    <x v="5"/>
    <n v="276568.5"/>
    <n v="27093624"/>
    <n v="129"/>
    <n v="16191"/>
    <n v="15102"/>
    <n v="210028.09302325582"/>
    <x v="2"/>
  </r>
  <r>
    <x v="5"/>
    <x v="5"/>
    <n v="269029.5"/>
    <n v="26659930.5"/>
    <n v="129"/>
    <n v="15744"/>
    <n v="14685"/>
    <n v="206666.12790697673"/>
    <x v="1"/>
  </r>
  <r>
    <x v="6"/>
    <x v="5"/>
    <n v="285972"/>
    <n v="29768199"/>
    <n v="129"/>
    <n v="16420"/>
    <n v="15169"/>
    <n v="230761.23255813954"/>
    <x v="3"/>
  </r>
  <r>
    <x v="7"/>
    <x v="5"/>
    <n v="283942.5"/>
    <n v="29357940"/>
    <n v="129"/>
    <n v="16525"/>
    <n v="15310"/>
    <n v="227580.93023255814"/>
    <x v="3"/>
  </r>
  <r>
    <x v="8"/>
    <x v="5"/>
    <n v="298059"/>
    <n v="30869287.5"/>
    <n v="128"/>
    <n v="17368"/>
    <n v="16077"/>
    <n v="241166.30859375"/>
    <x v="4"/>
  </r>
  <r>
    <x v="9"/>
    <x v="5"/>
    <n v="232903.5"/>
    <n v="24342016.5"/>
    <n v="129"/>
    <n v="14009"/>
    <n v="12920"/>
    <n v="188697.8023255814"/>
    <x v="4"/>
  </r>
  <r>
    <x v="10"/>
    <x v="5"/>
    <n v="276966"/>
    <n v="27872617.898850001"/>
    <n v="129"/>
    <n v="16459"/>
    <n v="15355"/>
    <n v="216066.80541744188"/>
    <x v="0"/>
  </r>
  <r>
    <x v="11"/>
    <x v="5"/>
    <n v="296149.5"/>
    <n v="31053316.5"/>
    <n v="129"/>
    <n v="17002"/>
    <n v="15570"/>
    <n v="240723.38372093023"/>
    <x v="4"/>
  </r>
  <r>
    <x v="12"/>
    <x v="5"/>
    <n v="281796"/>
    <n v="29042520"/>
    <n v="129"/>
    <n v="16387"/>
    <n v="15322"/>
    <n v="225135.81395348837"/>
    <x v="1"/>
  </r>
  <r>
    <x v="13"/>
    <x v="5"/>
    <n v="288936"/>
    <n v="27852900"/>
    <n v="129"/>
    <n v="16373"/>
    <n v="15223"/>
    <n v="215913.95348837209"/>
    <x v="2"/>
  </r>
  <r>
    <x v="14"/>
    <x v="5"/>
    <n v="300151.5"/>
    <n v="29368771.617449999"/>
    <n v="129"/>
    <n v="17095"/>
    <n v="15919"/>
    <n v="227664.8962593023"/>
    <x v="2"/>
  </r>
  <r>
    <x v="15"/>
    <x v="5"/>
    <n v="262734"/>
    <n v="27278441.145"/>
    <n v="129"/>
    <n v="15665"/>
    <n v="14501"/>
    <n v="211460.78406976743"/>
    <x v="3"/>
  </r>
  <r>
    <x v="16"/>
    <x v="5"/>
    <n v="286002"/>
    <n v="29159032.5"/>
    <n v="128"/>
    <n v="16450"/>
    <n v="15320"/>
    <n v="227804.94140625"/>
    <x v="4"/>
  </r>
  <r>
    <x v="17"/>
    <x v="5"/>
    <n v="258459"/>
    <n v="26467453.5"/>
    <n v="129"/>
    <n v="15304"/>
    <n v="14315"/>
    <n v="205174.05813953487"/>
    <x v="1"/>
  </r>
  <r>
    <x v="18"/>
    <x v="5"/>
    <n v="274083"/>
    <n v="28427001"/>
    <n v="129"/>
    <n v="15778"/>
    <n v="14624"/>
    <n v="220364.34883720931"/>
    <x v="4"/>
  </r>
  <r>
    <x v="19"/>
    <x v="5"/>
    <n v="277512"/>
    <n v="28770810.105599999"/>
    <n v="129"/>
    <n v="16376"/>
    <n v="15197"/>
    <n v="223029.53570232558"/>
    <x v="3"/>
  </r>
  <r>
    <x v="20"/>
    <x v="5"/>
    <n v="356982"/>
    <n v="35103926.711549997"/>
    <n v="129"/>
    <n v="19856"/>
    <n v="18325"/>
    <n v="272123.46288023255"/>
    <x v="2"/>
  </r>
  <r>
    <x v="21"/>
    <x v="5"/>
    <n v="266983.5"/>
    <n v="27165913.5"/>
    <n v="129"/>
    <n v="15822"/>
    <n v="14753"/>
    <n v="210588.47674418605"/>
    <x v="0"/>
  </r>
  <r>
    <x v="22"/>
    <x v="5"/>
    <n v="311131.5"/>
    <n v="32418879"/>
    <n v="129"/>
    <n v="18042"/>
    <n v="16631"/>
    <n v="251309.13953488372"/>
    <x v="4"/>
  </r>
  <r>
    <x v="23"/>
    <x v="5"/>
    <n v="287206.5"/>
    <n v="29536176.10605"/>
    <n v="129"/>
    <n v="16437"/>
    <n v="15285"/>
    <n v="228962.6054732558"/>
    <x v="3"/>
  </r>
  <r>
    <x v="24"/>
    <x v="5"/>
    <n v="370092"/>
    <n v="38091556.5"/>
    <n v="129"/>
    <n v="20452"/>
    <n v="18857"/>
    <n v="295283.38372093026"/>
    <x v="3"/>
  </r>
  <r>
    <x v="25"/>
    <x v="5"/>
    <n v="247813.5"/>
    <n v="25325271"/>
    <n v="129"/>
    <n v="14582"/>
    <n v="13512"/>
    <n v="196319.93023255814"/>
    <x v="3"/>
  </r>
  <r>
    <x v="26"/>
    <x v="5"/>
    <n v="287740.5"/>
    <n v="28188534"/>
    <n v="129"/>
    <n v="16432"/>
    <n v="15345"/>
    <n v="218515.76744186046"/>
    <x v="2"/>
  </r>
  <r>
    <x v="3"/>
    <x v="6"/>
    <n v="408810"/>
    <n v="42323631"/>
    <n v="125"/>
    <n v="22291"/>
    <n v="20635"/>
    <n v="338589.04800000001"/>
    <x v="1"/>
  </r>
  <r>
    <x v="4"/>
    <x v="6"/>
    <n v="362536.5"/>
    <n v="37023243"/>
    <n v="125"/>
    <n v="20771"/>
    <n v="19338"/>
    <n v="296185.94400000002"/>
    <x v="2"/>
  </r>
  <r>
    <x v="5"/>
    <x v="6"/>
    <n v="357072"/>
    <n v="36834567"/>
    <n v="125"/>
    <n v="20079"/>
    <n v="18721"/>
    <n v="294676.53600000002"/>
    <x v="1"/>
  </r>
  <r>
    <x v="6"/>
    <x v="6"/>
    <n v="359214"/>
    <n v="38693427"/>
    <n v="125"/>
    <n v="20132"/>
    <n v="18617"/>
    <n v="309547.41600000003"/>
    <x v="3"/>
  </r>
  <r>
    <x v="7"/>
    <x v="6"/>
    <n v="360255"/>
    <n v="38406954"/>
    <n v="125"/>
    <n v="20495"/>
    <n v="18964"/>
    <n v="307255.63199999998"/>
    <x v="3"/>
  </r>
  <r>
    <x v="8"/>
    <x v="6"/>
    <n v="387220.5"/>
    <n v="41559384"/>
    <n v="125"/>
    <n v="21863"/>
    <n v="20160"/>
    <n v="332475.07199999999"/>
    <x v="4"/>
  </r>
  <r>
    <x v="9"/>
    <x v="6"/>
    <n v="296580"/>
    <n v="31843737"/>
    <n v="125"/>
    <n v="16932"/>
    <n v="15601"/>
    <n v="254749.89600000001"/>
    <x v="4"/>
  </r>
  <r>
    <x v="10"/>
    <x v="6"/>
    <n v="369861"/>
    <n v="38365960.5"/>
    <n v="124"/>
    <n v="21153"/>
    <n v="19673"/>
    <n v="309402.90725806454"/>
    <x v="0"/>
  </r>
  <r>
    <x v="11"/>
    <x v="6"/>
    <n v="372504"/>
    <n v="40077193.5"/>
    <n v="125"/>
    <n v="20602"/>
    <n v="18845"/>
    <n v="320617.54800000001"/>
    <x v="4"/>
  </r>
  <r>
    <x v="12"/>
    <x v="6"/>
    <n v="373392"/>
    <n v="39578577"/>
    <n v="125"/>
    <n v="21106"/>
    <n v="19651"/>
    <n v="316628.61599999998"/>
    <x v="1"/>
  </r>
  <r>
    <x v="13"/>
    <x v="6"/>
    <n v="378043.5"/>
    <n v="37902156.57"/>
    <n v="125"/>
    <n v="20911"/>
    <n v="19358"/>
    <n v="303217.25255999999"/>
    <x v="2"/>
  </r>
  <r>
    <x v="14"/>
    <x v="6"/>
    <n v="388668"/>
    <n v="39639309"/>
    <n v="125"/>
    <n v="21674"/>
    <n v="20155"/>
    <n v="317114.47200000001"/>
    <x v="2"/>
  </r>
  <r>
    <x v="15"/>
    <x v="6"/>
    <n v="333792"/>
    <n v="35671734"/>
    <n v="125"/>
    <n v="18944"/>
    <n v="17541"/>
    <n v="285373.87199999997"/>
    <x v="3"/>
  </r>
  <r>
    <x v="16"/>
    <x v="6"/>
    <n v="376060.5"/>
    <n v="39918028.5"/>
    <n v="125"/>
    <n v="20914"/>
    <n v="19479"/>
    <n v="319344.228"/>
    <x v="4"/>
  </r>
  <r>
    <x v="17"/>
    <x v="6"/>
    <n v="350068.5"/>
    <n v="37197115.5"/>
    <n v="125"/>
    <n v="19965"/>
    <n v="18573"/>
    <n v="297576.924"/>
    <x v="1"/>
  </r>
  <r>
    <x v="0"/>
    <x v="5"/>
    <n v="294337.5"/>
    <n v="29327766"/>
    <n v="129"/>
    <n v="17235"/>
    <n v="16052"/>
    <n v="227347.02325581395"/>
    <x v="0"/>
  </r>
  <r>
    <x v="18"/>
    <x v="6"/>
    <n v="342666"/>
    <n v="36631999.5"/>
    <n v="125"/>
    <n v="18861"/>
    <n v="17420"/>
    <n v="293055.99599999998"/>
    <x v="4"/>
  </r>
  <r>
    <x v="1"/>
    <x v="5"/>
    <n v="364882.5"/>
    <n v="35724493.5"/>
    <n v="129"/>
    <n v="20243"/>
    <n v="18711"/>
    <n v="276934.0581395349"/>
    <x v="0"/>
  </r>
  <r>
    <x v="19"/>
    <x v="6"/>
    <n v="355278"/>
    <n v="38092344"/>
    <n v="125"/>
    <n v="20218"/>
    <n v="18647"/>
    <n v="304738.75199999998"/>
    <x v="3"/>
  </r>
  <r>
    <x v="20"/>
    <x v="6"/>
    <n v="456885"/>
    <n v="46408080"/>
    <n v="125"/>
    <n v="24574"/>
    <n v="22609"/>
    <n v="371264.64"/>
    <x v="2"/>
  </r>
  <r>
    <x v="2"/>
    <x v="5"/>
    <n v="278491.5"/>
    <n v="28151004.75"/>
    <n v="129"/>
    <n v="16453"/>
    <n v="15289"/>
    <n v="218224.84302325582"/>
    <x v="0"/>
  </r>
  <r>
    <x v="21"/>
    <x v="6"/>
    <n v="349734"/>
    <n v="36883428"/>
    <n v="124"/>
    <n v="20358"/>
    <n v="18890"/>
    <n v="297447"/>
    <x v="0"/>
  </r>
  <r>
    <x v="22"/>
    <x v="6"/>
    <n v="401580"/>
    <n v="43028734.5"/>
    <n v="125"/>
    <n v="22368"/>
    <n v="20625"/>
    <n v="344229.87599999999"/>
    <x v="4"/>
  </r>
  <r>
    <x v="23"/>
    <x v="6"/>
    <n v="368649"/>
    <n v="39010875"/>
    <n v="125"/>
    <n v="20368"/>
    <n v="18884"/>
    <n v="312087"/>
    <x v="3"/>
  </r>
  <r>
    <x v="24"/>
    <x v="6"/>
    <n v="463530"/>
    <n v="49123180.5"/>
    <n v="125"/>
    <n v="24620"/>
    <n v="22641"/>
    <n v="392985.44400000002"/>
    <x v="3"/>
  </r>
  <r>
    <x v="25"/>
    <x v="6"/>
    <n v="319110"/>
    <n v="33763989"/>
    <n v="125"/>
    <n v="18014"/>
    <n v="16675"/>
    <n v="270111.91200000001"/>
    <x v="3"/>
  </r>
  <r>
    <x v="26"/>
    <x v="6"/>
    <n v="375744"/>
    <n v="38191381.5"/>
    <n v="125"/>
    <n v="21004"/>
    <n v="19556"/>
    <n v="305531.05200000003"/>
    <x v="2"/>
  </r>
  <r>
    <x v="3"/>
    <x v="7"/>
    <n v="81331.5"/>
    <n v="6652179"/>
    <n v="36"/>
    <n v="5286"/>
    <n v="4867"/>
    <n v="184782.75"/>
    <x v="1"/>
  </r>
  <r>
    <x v="4"/>
    <x v="7"/>
    <n v="75796.5"/>
    <n v="6173463"/>
    <n v="36"/>
    <n v="5094"/>
    <n v="4716"/>
    <n v="171485.08333333334"/>
    <x v="2"/>
  </r>
  <r>
    <x v="5"/>
    <x v="7"/>
    <n v="72861"/>
    <n v="5952802.5"/>
    <n v="36"/>
    <n v="4918"/>
    <n v="4554"/>
    <n v="165355.625"/>
    <x v="1"/>
  </r>
  <r>
    <x v="6"/>
    <x v="7"/>
    <n v="83373"/>
    <n v="7253427"/>
    <n v="36"/>
    <n v="5413"/>
    <n v="4959"/>
    <n v="201484.08333333334"/>
    <x v="3"/>
  </r>
  <r>
    <x v="7"/>
    <x v="7"/>
    <n v="64108.5"/>
    <n v="5561452.5"/>
    <n v="36"/>
    <n v="4508"/>
    <n v="4149"/>
    <n v="154484.79166666666"/>
    <x v="3"/>
  </r>
  <r>
    <x v="8"/>
    <x v="7"/>
    <n v="74707.5"/>
    <n v="6454458"/>
    <n v="36"/>
    <n v="4937"/>
    <n v="4561"/>
    <n v="179290.5"/>
    <x v="4"/>
  </r>
  <r>
    <x v="9"/>
    <x v="7"/>
    <n v="46216.5"/>
    <n v="4118251.5"/>
    <n v="36"/>
    <n v="3442"/>
    <n v="3147"/>
    <n v="114395.875"/>
    <x v="4"/>
  </r>
  <r>
    <x v="10"/>
    <x v="7"/>
    <n v="67726.5"/>
    <n v="5864989.5"/>
    <n v="36"/>
    <n v="4770"/>
    <n v="4424"/>
    <n v="162916.375"/>
    <x v="0"/>
  </r>
  <r>
    <x v="11"/>
    <x v="7"/>
    <n v="82228.5"/>
    <n v="7032225"/>
    <n v="36"/>
    <n v="5457"/>
    <n v="4916"/>
    <n v="195339.58333333334"/>
    <x v="4"/>
  </r>
  <r>
    <x v="12"/>
    <x v="7"/>
    <n v="64390.5"/>
    <n v="5523145.5"/>
    <n v="36"/>
    <n v="4418"/>
    <n v="4088"/>
    <n v="153420.70833333334"/>
    <x v="1"/>
  </r>
  <r>
    <x v="13"/>
    <x v="7"/>
    <n v="73126.5"/>
    <n v="5864085"/>
    <n v="36"/>
    <n v="4816"/>
    <n v="4452"/>
    <n v="162891.25"/>
    <x v="2"/>
  </r>
  <r>
    <x v="14"/>
    <x v="7"/>
    <n v="99631.5"/>
    <n v="7121946"/>
    <n v="36"/>
    <n v="5914"/>
    <n v="5384"/>
    <n v="197831.83333333334"/>
    <x v="2"/>
  </r>
  <r>
    <x v="15"/>
    <x v="7"/>
    <n v="66396"/>
    <n v="5770539"/>
    <n v="36"/>
    <n v="4575"/>
    <n v="4206"/>
    <n v="160292.75"/>
    <x v="3"/>
  </r>
  <r>
    <x v="16"/>
    <x v="7"/>
    <n v="73147.5"/>
    <n v="6288246"/>
    <n v="36"/>
    <n v="4923"/>
    <n v="4560"/>
    <n v="174673.5"/>
    <x v="4"/>
  </r>
  <r>
    <x v="17"/>
    <x v="7"/>
    <n v="73062"/>
    <n v="6333828"/>
    <n v="36"/>
    <n v="4967"/>
    <n v="4583"/>
    <n v="175939.66666666666"/>
    <x v="1"/>
  </r>
  <r>
    <x v="0"/>
    <x v="6"/>
    <n v="379663.5"/>
    <n v="39380178"/>
    <n v="124"/>
    <n v="21392"/>
    <n v="19869"/>
    <n v="317582.08064516127"/>
    <x v="0"/>
  </r>
  <r>
    <x v="18"/>
    <x v="7"/>
    <n v="70581"/>
    <n v="6221320.5"/>
    <n v="36"/>
    <n v="4751"/>
    <n v="4370"/>
    <n v="172814.45833333334"/>
    <x v="4"/>
  </r>
  <r>
    <x v="1"/>
    <x v="6"/>
    <n v="453123"/>
    <n v="46370904"/>
    <n v="124"/>
    <n v="24325"/>
    <n v="22469"/>
    <n v="373958.90322580643"/>
    <x v="0"/>
  </r>
  <r>
    <x v="19"/>
    <x v="7"/>
    <n v="63012"/>
    <n v="5454121.5"/>
    <n v="36"/>
    <n v="4384"/>
    <n v="4025"/>
    <n v="151503.375"/>
    <x v="3"/>
  </r>
  <r>
    <x v="20"/>
    <x v="7"/>
    <n v="89556"/>
    <n v="7173117"/>
    <n v="36"/>
    <n v="5651"/>
    <n v="5212"/>
    <n v="199253.25"/>
    <x v="2"/>
  </r>
  <r>
    <x v="2"/>
    <x v="6"/>
    <n v="364638"/>
    <n v="37947688.5"/>
    <n v="124"/>
    <n v="20868"/>
    <n v="19342"/>
    <n v="306029.74596774194"/>
    <x v="0"/>
  </r>
  <r>
    <x v="21"/>
    <x v="7"/>
    <n v="66316.5"/>
    <n v="5704650"/>
    <n v="36"/>
    <n v="4641"/>
    <n v="4274"/>
    <n v="158462.5"/>
    <x v="0"/>
  </r>
  <r>
    <x v="22"/>
    <x v="7"/>
    <n v="78235.5"/>
    <n v="6819594"/>
    <n v="36"/>
    <n v="5143"/>
    <n v="4715"/>
    <n v="189433.16666666666"/>
    <x v="4"/>
  </r>
  <r>
    <x v="23"/>
    <x v="7"/>
    <n v="88311"/>
    <n v="7726069.5"/>
    <n v="36"/>
    <n v="5746"/>
    <n v="5277"/>
    <n v="214613.04166666666"/>
    <x v="3"/>
  </r>
  <r>
    <x v="24"/>
    <x v="7"/>
    <n v="61804.5"/>
    <n v="5365708.5"/>
    <n v="36"/>
    <n v="4199"/>
    <n v="3867"/>
    <n v="149047.45833333334"/>
    <x v="3"/>
  </r>
  <r>
    <x v="25"/>
    <x v="7"/>
    <n v="71067"/>
    <n v="6175837.5"/>
    <n v="36"/>
    <n v="4826"/>
    <n v="4426"/>
    <n v="171551.04166666666"/>
    <x v="3"/>
  </r>
  <r>
    <x v="26"/>
    <x v="7"/>
    <n v="74649"/>
    <n v="6098236.5"/>
    <n v="36"/>
    <n v="4915"/>
    <n v="4562"/>
    <n v="169395.45833333334"/>
    <x v="2"/>
  </r>
  <r>
    <x v="3"/>
    <x v="8"/>
    <n v="44560.5"/>
    <n v="4025148"/>
    <n v="21"/>
    <n v="2427"/>
    <n v="2213"/>
    <n v="191673.71428571429"/>
    <x v="1"/>
  </r>
  <r>
    <x v="4"/>
    <x v="8"/>
    <n v="38250"/>
    <n v="3552937.5"/>
    <n v="21"/>
    <n v="2245"/>
    <n v="2053"/>
    <n v="169187.5"/>
    <x v="2"/>
  </r>
  <r>
    <x v="5"/>
    <x v="8"/>
    <n v="34830"/>
    <n v="3191155.5"/>
    <n v="21"/>
    <n v="2054"/>
    <n v="1883"/>
    <n v="151959.78571428571"/>
    <x v="1"/>
  </r>
  <r>
    <x v="6"/>
    <x v="8"/>
    <n v="32239.5"/>
    <n v="3084892.5"/>
    <n v="21"/>
    <n v="1891"/>
    <n v="1709"/>
    <n v="146899.64285714287"/>
    <x v="3"/>
  </r>
  <r>
    <x v="7"/>
    <x v="8"/>
    <n v="30780"/>
    <n v="2817853.5"/>
    <n v="20"/>
    <n v="1804"/>
    <n v="1638"/>
    <n v="140892.67499999999"/>
    <x v="3"/>
  </r>
  <r>
    <x v="8"/>
    <x v="8"/>
    <n v="29142"/>
    <n v="2627595"/>
    <n v="19"/>
    <n v="1676"/>
    <n v="1516"/>
    <n v="138294.47368421053"/>
    <x v="4"/>
  </r>
  <r>
    <x v="9"/>
    <x v="8"/>
    <n v="26428.5"/>
    <n v="2470465.5"/>
    <n v="20"/>
    <n v="1613"/>
    <n v="1457"/>
    <n v="123523.27499999999"/>
    <x v="4"/>
  </r>
  <r>
    <x v="10"/>
    <x v="8"/>
    <n v="40744.5"/>
    <n v="3700311"/>
    <n v="21"/>
    <n v="2418"/>
    <n v="2215"/>
    <n v="176205.28571428571"/>
    <x v="0"/>
  </r>
  <r>
    <x v="11"/>
    <x v="8"/>
    <n v="46620"/>
    <n v="4293241.5"/>
    <n v="20"/>
    <n v="2468"/>
    <n v="2221"/>
    <n v="214662.07500000001"/>
    <x v="4"/>
  </r>
  <r>
    <x v="12"/>
    <x v="8"/>
    <n v="32419.5"/>
    <n v="3080614.5"/>
    <n v="21"/>
    <n v="1926"/>
    <n v="1745"/>
    <n v="146695.92857142858"/>
    <x v="1"/>
  </r>
  <r>
    <x v="13"/>
    <x v="8"/>
    <n v="40819.5"/>
    <n v="3810394.5"/>
    <n v="21"/>
    <n v="2335"/>
    <n v="2126"/>
    <n v="181447.35714285713"/>
    <x v="2"/>
  </r>
  <r>
    <x v="14"/>
    <x v="8"/>
    <n v="41391"/>
    <n v="3918987"/>
    <n v="21"/>
    <n v="2410"/>
    <n v="2202"/>
    <n v="186618.42857142858"/>
    <x v="2"/>
  </r>
  <r>
    <x v="15"/>
    <x v="8"/>
    <n v="29482.5"/>
    <n v="2648688"/>
    <n v="20"/>
    <n v="1757"/>
    <n v="1596"/>
    <n v="132434.4"/>
    <x v="3"/>
  </r>
  <r>
    <x v="16"/>
    <x v="8"/>
    <n v="32181"/>
    <n v="2863600.5"/>
    <n v="19"/>
    <n v="1846"/>
    <n v="1681"/>
    <n v="150715.81578947368"/>
    <x v="4"/>
  </r>
  <r>
    <x v="17"/>
    <x v="8"/>
    <n v="35535"/>
    <n v="3288069"/>
    <n v="21"/>
    <n v="2061"/>
    <n v="1876"/>
    <n v="156574.71428571429"/>
    <x v="1"/>
  </r>
  <r>
    <x v="0"/>
    <x v="7"/>
    <n v="76234.5"/>
    <n v="6500848.5"/>
    <n v="37"/>
    <n v="5215"/>
    <n v="4848"/>
    <n v="175698.60810810811"/>
    <x v="0"/>
  </r>
  <r>
    <x v="18"/>
    <x v="8"/>
    <n v="29935.5"/>
    <n v="2720002.5"/>
    <n v="20"/>
    <n v="1716"/>
    <n v="1561"/>
    <n v="136000.125"/>
    <x v="4"/>
  </r>
  <r>
    <x v="1"/>
    <x v="7"/>
    <n v="106926"/>
    <n v="9098386.5"/>
    <n v="37"/>
    <n v="6645"/>
    <n v="6122"/>
    <n v="245902.33783783784"/>
    <x v="0"/>
  </r>
  <r>
    <x v="19"/>
    <x v="8"/>
    <n v="30342"/>
    <n v="2738127"/>
    <n v="20"/>
    <n v="1747"/>
    <n v="1570"/>
    <n v="136906.35"/>
    <x v="3"/>
  </r>
  <r>
    <x v="20"/>
    <x v="8"/>
    <n v="42999"/>
    <n v="3883215"/>
    <n v="21"/>
    <n v="2460"/>
    <n v="2226"/>
    <n v="184915"/>
    <x v="2"/>
  </r>
  <r>
    <x v="2"/>
    <x v="7"/>
    <n v="69945"/>
    <n v="6101931"/>
    <n v="37"/>
    <n v="4840"/>
    <n v="4475"/>
    <n v="164917.05405405405"/>
    <x v="0"/>
  </r>
  <r>
    <x v="21"/>
    <x v="8"/>
    <n v="38740.5"/>
    <n v="3561655.5"/>
    <n v="21"/>
    <n v="2330"/>
    <n v="2142"/>
    <n v="169602.64285714287"/>
    <x v="0"/>
  </r>
  <r>
    <x v="22"/>
    <x v="8"/>
    <n v="31231.5"/>
    <n v="2853310.5"/>
    <n v="20"/>
    <n v="1756"/>
    <n v="1586"/>
    <n v="142665.52499999999"/>
    <x v="4"/>
  </r>
  <r>
    <x v="23"/>
    <x v="8"/>
    <n v="37489.5"/>
    <n v="3549097.5"/>
    <n v="21"/>
    <n v="2120"/>
    <n v="1921"/>
    <n v="169004.64285714287"/>
    <x v="3"/>
  </r>
  <r>
    <x v="24"/>
    <x v="8"/>
    <n v="34399.5"/>
    <n v="3201358.5"/>
    <n v="21"/>
    <n v="1957"/>
    <n v="1755"/>
    <n v="152445.64285714287"/>
    <x v="3"/>
  </r>
  <r>
    <x v="25"/>
    <x v="8"/>
    <n v="32851.5"/>
    <n v="2934504"/>
    <n v="21"/>
    <n v="1879"/>
    <n v="1695"/>
    <n v="139738.28571428571"/>
    <x v="3"/>
  </r>
  <r>
    <x v="26"/>
    <x v="8"/>
    <n v="38194.5"/>
    <n v="3449302.5"/>
    <n v="21"/>
    <n v="2254"/>
    <n v="2061"/>
    <n v="164252.5"/>
    <x v="2"/>
  </r>
  <r>
    <x v="0"/>
    <x v="8"/>
    <n v="42423"/>
    <n v="3994153.5"/>
    <n v="23"/>
    <n v="2522"/>
    <n v="2295"/>
    <n v="173658.84782608695"/>
    <x v="0"/>
  </r>
  <r>
    <x v="1"/>
    <x v="8"/>
    <n v="48286.5"/>
    <n v="4456441.5"/>
    <n v="22"/>
    <n v="2793"/>
    <n v="2539"/>
    <n v="202565.52272727274"/>
    <x v="0"/>
  </r>
  <r>
    <x v="2"/>
    <x v="8"/>
    <n v="41442"/>
    <n v="3893680.5"/>
    <n v="22"/>
    <n v="2454"/>
    <n v="2239"/>
    <n v="176985.47727272726"/>
    <x v="0"/>
  </r>
  <r>
    <x v="3"/>
    <x v="9"/>
    <n v="18600"/>
    <n v="1601425.5"/>
    <n v="15"/>
    <n v="1111"/>
    <n v="992"/>
    <n v="106761.7"/>
    <x v="1"/>
  </r>
  <r>
    <x v="4"/>
    <x v="9"/>
    <n v="16638"/>
    <n v="1364847"/>
    <n v="16"/>
    <n v="1012"/>
    <n v="900"/>
    <n v="85302.9375"/>
    <x v="2"/>
  </r>
  <r>
    <x v="5"/>
    <x v="9"/>
    <n v="15609"/>
    <n v="1377577.5"/>
    <n v="15"/>
    <n v="971"/>
    <n v="856"/>
    <n v="91838.5"/>
    <x v="1"/>
  </r>
  <r>
    <x v="6"/>
    <x v="9"/>
    <n v="13948.5"/>
    <n v="1222932"/>
    <n v="15"/>
    <n v="849"/>
    <n v="740"/>
    <n v="81528.800000000003"/>
    <x v="3"/>
  </r>
  <r>
    <x v="7"/>
    <x v="9"/>
    <n v="12301.5"/>
    <n v="1085211"/>
    <n v="15"/>
    <n v="750"/>
    <n v="647"/>
    <n v="72347.399999999994"/>
    <x v="3"/>
  </r>
  <r>
    <x v="8"/>
    <x v="9"/>
    <n v="13014"/>
    <n v="1115992.5"/>
    <n v="15"/>
    <n v="786"/>
    <n v="695"/>
    <n v="74399.5"/>
    <x v="4"/>
  </r>
  <r>
    <x v="9"/>
    <x v="9"/>
    <n v="12313.5"/>
    <n v="1053220.5"/>
    <n v="15"/>
    <n v="751"/>
    <n v="651"/>
    <n v="70214.7"/>
    <x v="4"/>
  </r>
  <r>
    <x v="10"/>
    <x v="9"/>
    <n v="17391"/>
    <n v="1489132.5"/>
    <n v="17"/>
    <n v="1140"/>
    <n v="1016"/>
    <n v="87596.029411764699"/>
    <x v="0"/>
  </r>
  <r>
    <x v="11"/>
    <x v="9"/>
    <n v="17113.5"/>
    <n v="1465842"/>
    <n v="15"/>
    <n v="996"/>
    <n v="888"/>
    <n v="97722.8"/>
    <x v="4"/>
  </r>
  <r>
    <x v="12"/>
    <x v="9"/>
    <n v="12802.5"/>
    <n v="1123830"/>
    <n v="15"/>
    <n v="845"/>
    <n v="743"/>
    <n v="74922"/>
    <x v="1"/>
  </r>
  <r>
    <x v="13"/>
    <x v="9"/>
    <n v="16554"/>
    <n v="1380751.5"/>
    <n v="17"/>
    <n v="1045"/>
    <n v="930"/>
    <n v="81220.676470588238"/>
    <x v="2"/>
  </r>
  <r>
    <x v="14"/>
    <x v="9"/>
    <n v="17329.5"/>
    <n v="1430254.5"/>
    <n v="16"/>
    <n v="1050"/>
    <n v="938"/>
    <n v="89390.90625"/>
    <x v="2"/>
  </r>
  <r>
    <x v="15"/>
    <x v="9"/>
    <n v="15987"/>
    <n v="1384179"/>
    <n v="15"/>
    <n v="922"/>
    <n v="823"/>
    <n v="92278.6"/>
    <x v="3"/>
  </r>
  <r>
    <x v="16"/>
    <x v="9"/>
    <n v="13303.5"/>
    <n v="1102887"/>
    <n v="15"/>
    <n v="780"/>
    <n v="690"/>
    <n v="73525.8"/>
    <x v="4"/>
  </r>
  <r>
    <x v="17"/>
    <x v="9"/>
    <n v="14305.5"/>
    <n v="1243507.5"/>
    <n v="15"/>
    <n v="898"/>
    <n v="795"/>
    <n v="82900.5"/>
    <x v="1"/>
  </r>
  <r>
    <x v="18"/>
    <x v="9"/>
    <n v="12924"/>
    <n v="1120009.5"/>
    <n v="15"/>
    <n v="784"/>
    <n v="696"/>
    <n v="74667.3"/>
    <x v="4"/>
  </r>
  <r>
    <x v="19"/>
    <x v="9"/>
    <n v="14061"/>
    <n v="1221057"/>
    <n v="15"/>
    <n v="839"/>
    <n v="733"/>
    <n v="81403.8"/>
    <x v="3"/>
  </r>
  <r>
    <x v="20"/>
    <x v="9"/>
    <n v="21958.5"/>
    <n v="1854001.5"/>
    <n v="17"/>
    <n v="1294"/>
    <n v="1155"/>
    <n v="109058.91176470589"/>
    <x v="2"/>
  </r>
  <r>
    <x v="21"/>
    <x v="9"/>
    <n v="17211"/>
    <n v="1507867.5"/>
    <n v="17"/>
    <n v="1142"/>
    <n v="1020"/>
    <n v="88698.088235294112"/>
    <x v="0"/>
  </r>
  <r>
    <x v="22"/>
    <x v="9"/>
    <n v="12753"/>
    <n v="1103068.5"/>
    <n v="15"/>
    <n v="791"/>
    <n v="691"/>
    <n v="73537.899999999994"/>
    <x v="4"/>
  </r>
  <r>
    <x v="23"/>
    <x v="9"/>
    <n v="16435.5"/>
    <n v="1471537.5"/>
    <n v="15"/>
    <n v="950"/>
    <n v="848"/>
    <n v="98102.5"/>
    <x v="3"/>
  </r>
  <r>
    <x v="24"/>
    <x v="9"/>
    <n v="14494.5"/>
    <n v="1269786"/>
    <n v="15"/>
    <n v="879"/>
    <n v="768"/>
    <n v="84652.4"/>
    <x v="3"/>
  </r>
  <r>
    <x v="25"/>
    <x v="9"/>
    <n v="12705"/>
    <n v="1123894.5"/>
    <n v="15"/>
    <n v="805"/>
    <n v="703"/>
    <n v="74926.3"/>
    <x v="3"/>
  </r>
  <r>
    <x v="26"/>
    <x v="9"/>
    <n v="18075"/>
    <n v="1548099"/>
    <n v="17"/>
    <n v="1128"/>
    <n v="1001"/>
    <n v="91064.647058823524"/>
    <x v="2"/>
  </r>
  <r>
    <x v="3"/>
    <x v="10"/>
    <n v="13120.5"/>
    <n v="1215033"/>
    <n v="15"/>
    <n v="747"/>
    <n v="647"/>
    <n v="81002.2"/>
    <x v="1"/>
  </r>
  <r>
    <x v="4"/>
    <x v="10"/>
    <n v="16237.5"/>
    <n v="1403047.5"/>
    <n v="15"/>
    <n v="930"/>
    <n v="827"/>
    <n v="93536.5"/>
    <x v="2"/>
  </r>
  <r>
    <x v="5"/>
    <x v="10"/>
    <n v="11967"/>
    <n v="1060489.5"/>
    <n v="15"/>
    <n v="692"/>
    <n v="591"/>
    <n v="70699.3"/>
    <x v="1"/>
  </r>
  <r>
    <x v="6"/>
    <x v="10"/>
    <n v="12037.5"/>
    <n v="1081216.5"/>
    <n v="15"/>
    <n v="623"/>
    <n v="535"/>
    <n v="72081.100000000006"/>
    <x v="3"/>
  </r>
  <r>
    <x v="7"/>
    <x v="10"/>
    <n v="7087.5"/>
    <n v="610855.5"/>
    <n v="15"/>
    <n v="390"/>
    <n v="315"/>
    <n v="40723.699999999997"/>
    <x v="3"/>
  </r>
  <r>
    <x v="8"/>
    <x v="11"/>
    <n v="25816.5"/>
    <n v="2360914.5"/>
    <n v="18"/>
    <n v="1599"/>
    <n v="1450"/>
    <n v="131161.91666666666"/>
    <x v="4"/>
  </r>
  <r>
    <x v="9"/>
    <x v="10"/>
    <n v="4624.5"/>
    <n v="433243.5"/>
    <n v="15"/>
    <n v="274"/>
    <n v="203"/>
    <n v="28882.9"/>
    <x v="4"/>
  </r>
  <r>
    <x v="10"/>
    <x v="10"/>
    <n v="12259.5"/>
    <n v="1152054"/>
    <n v="15"/>
    <n v="812"/>
    <n v="711"/>
    <n v="76803.600000000006"/>
    <x v="0"/>
  </r>
  <r>
    <x v="11"/>
    <x v="10"/>
    <n v="5446.5"/>
    <n v="505572"/>
    <n v="15"/>
    <n v="294"/>
    <n v="225"/>
    <n v="33704.800000000003"/>
    <x v="4"/>
  </r>
  <r>
    <x v="12"/>
    <x v="10"/>
    <n v="11296.5"/>
    <n v="989632.5"/>
    <n v="15"/>
    <n v="624"/>
    <n v="538"/>
    <n v="65975.5"/>
    <x v="1"/>
  </r>
  <r>
    <x v="13"/>
    <x v="10"/>
    <n v="12135"/>
    <n v="1103623.5"/>
    <n v="15"/>
    <n v="749"/>
    <n v="652"/>
    <n v="73574.899999999994"/>
    <x v="2"/>
  </r>
  <r>
    <x v="14"/>
    <x v="10"/>
    <n v="12630"/>
    <n v="1104858"/>
    <n v="15"/>
    <n v="760"/>
    <n v="664"/>
    <n v="73657.2"/>
    <x v="2"/>
  </r>
  <r>
    <x v="15"/>
    <x v="10"/>
    <n v="8223"/>
    <n v="694593"/>
    <n v="15"/>
    <n v="455"/>
    <n v="381"/>
    <n v="46306.2"/>
    <x v="3"/>
  </r>
  <r>
    <x v="16"/>
    <x v="11"/>
    <n v="25149"/>
    <n v="2277072"/>
    <n v="18"/>
    <n v="1505"/>
    <n v="1368"/>
    <n v="126504"/>
    <x v="4"/>
  </r>
  <r>
    <x v="17"/>
    <x v="10"/>
    <n v="10401"/>
    <n v="949912.5"/>
    <n v="15"/>
    <n v="599"/>
    <n v="515"/>
    <n v="63327.5"/>
    <x v="1"/>
  </r>
  <r>
    <x v="0"/>
    <x v="9"/>
    <n v="17689.5"/>
    <n v="1592119.5"/>
    <n v="17"/>
    <n v="1186"/>
    <n v="1054"/>
    <n v="93654.088235294112"/>
    <x v="0"/>
  </r>
  <r>
    <x v="18"/>
    <x v="10"/>
    <n v="8127"/>
    <n v="665302.5"/>
    <n v="15"/>
    <n v="455"/>
    <n v="384"/>
    <n v="44353.5"/>
    <x v="4"/>
  </r>
  <r>
    <x v="1"/>
    <x v="9"/>
    <n v="27250.5"/>
    <n v="2457252"/>
    <n v="17"/>
    <n v="1697"/>
    <n v="1499"/>
    <n v="144544.23529411765"/>
    <x v="0"/>
  </r>
  <r>
    <x v="19"/>
    <x v="10"/>
    <n v="8464.5"/>
    <n v="739291.5"/>
    <n v="15"/>
    <n v="467"/>
    <n v="389"/>
    <n v="49286.1"/>
    <x v="3"/>
  </r>
  <r>
    <x v="20"/>
    <x v="10"/>
    <n v="14167.5"/>
    <n v="1315075.5"/>
    <n v="15"/>
    <n v="840"/>
    <n v="725"/>
    <n v="87671.7"/>
    <x v="2"/>
  </r>
  <r>
    <x v="2"/>
    <x v="9"/>
    <n v="16500"/>
    <n v="1487928"/>
    <n v="17"/>
    <n v="1097"/>
    <n v="968"/>
    <n v="87525.176470588238"/>
    <x v="0"/>
  </r>
  <r>
    <x v="21"/>
    <x v="10"/>
    <n v="13260"/>
    <n v="1230687"/>
    <n v="15"/>
    <n v="835"/>
    <n v="736"/>
    <n v="82045.8"/>
    <x v="0"/>
  </r>
  <r>
    <x v="22"/>
    <x v="10"/>
    <n v="4285.5"/>
    <n v="404691"/>
    <n v="15"/>
    <n v="262"/>
    <n v="195"/>
    <n v="26979.4"/>
    <x v="4"/>
  </r>
  <r>
    <x v="23"/>
    <x v="10"/>
    <n v="13440"/>
    <n v="1198285.5"/>
    <n v="15"/>
    <n v="706"/>
    <n v="608"/>
    <n v="79885.7"/>
    <x v="3"/>
  </r>
  <r>
    <x v="24"/>
    <x v="10"/>
    <n v="9058.5"/>
    <n v="798759"/>
    <n v="15"/>
    <n v="492"/>
    <n v="412"/>
    <n v="53250.6"/>
    <x v="3"/>
  </r>
  <r>
    <x v="25"/>
    <x v="10"/>
    <n v="8719.5"/>
    <n v="769276.5"/>
    <n v="15"/>
    <n v="480"/>
    <n v="398"/>
    <n v="51285.1"/>
    <x v="3"/>
  </r>
  <r>
    <x v="26"/>
    <x v="10"/>
    <n v="12666"/>
    <n v="1184865"/>
    <n v="15"/>
    <n v="779"/>
    <n v="673"/>
    <n v="78991"/>
    <x v="2"/>
  </r>
  <r>
    <x v="3"/>
    <x v="11"/>
    <n v="34563"/>
    <n v="2922883.5"/>
    <n v="19"/>
    <n v="2039"/>
    <n v="1868"/>
    <n v="153835.97368421053"/>
    <x v="1"/>
  </r>
  <r>
    <x v="4"/>
    <x v="11"/>
    <n v="28882.5"/>
    <n v="2446530"/>
    <n v="19"/>
    <n v="1831"/>
    <n v="1667"/>
    <n v="128764.73684210527"/>
    <x v="2"/>
  </r>
  <r>
    <x v="5"/>
    <x v="11"/>
    <n v="28275"/>
    <n v="2435632.5"/>
    <n v="19"/>
    <n v="1790"/>
    <n v="1633"/>
    <n v="128191.18421052632"/>
    <x v="1"/>
  </r>
  <r>
    <x v="6"/>
    <x v="11"/>
    <n v="26271"/>
    <n v="2384937"/>
    <n v="19"/>
    <n v="1542"/>
    <n v="1412"/>
    <n v="125523"/>
    <x v="3"/>
  </r>
  <r>
    <x v="7"/>
    <x v="11"/>
    <n v="23587.5"/>
    <n v="2155668"/>
    <n v="19"/>
    <n v="1479"/>
    <n v="1346"/>
    <n v="113456.21052631579"/>
    <x v="3"/>
  </r>
  <r>
    <x v="9"/>
    <x v="11"/>
    <n v="18427.5"/>
    <n v="1682851.5"/>
    <n v="19"/>
    <n v="1206"/>
    <n v="1080"/>
    <n v="88571.131578947374"/>
    <x v="4"/>
  </r>
  <r>
    <x v="10"/>
    <x v="11"/>
    <n v="27156"/>
    <n v="2410803"/>
    <n v="20"/>
    <n v="1814"/>
    <n v="1655"/>
    <n v="120540.15"/>
    <x v="0"/>
  </r>
  <r>
    <x v="11"/>
    <x v="11"/>
    <n v="35190"/>
    <n v="3168510"/>
    <n v="19"/>
    <n v="1987"/>
    <n v="1791"/>
    <n v="166763.68421052632"/>
    <x v="4"/>
  </r>
  <r>
    <x v="12"/>
    <x v="11"/>
    <n v="25483.5"/>
    <n v="2243160"/>
    <n v="19"/>
    <n v="1598"/>
    <n v="1454"/>
    <n v="118061.05263157895"/>
    <x v="1"/>
  </r>
  <r>
    <x v="13"/>
    <x v="11"/>
    <n v="25362"/>
    <n v="2198935.5"/>
    <n v="19"/>
    <n v="1650"/>
    <n v="1505"/>
    <n v="115733.44736842105"/>
    <x v="2"/>
  </r>
  <r>
    <x v="14"/>
    <x v="11"/>
    <n v="28849.5"/>
    <n v="2520759"/>
    <n v="19"/>
    <n v="1823"/>
    <n v="1678"/>
    <n v="132671.52631578947"/>
    <x v="2"/>
  </r>
  <r>
    <x v="15"/>
    <x v="11"/>
    <n v="26367"/>
    <n v="2380333.5"/>
    <n v="19"/>
    <n v="1622"/>
    <n v="1482"/>
    <n v="125280.71052631579"/>
    <x v="3"/>
  </r>
  <r>
    <x v="17"/>
    <x v="11"/>
    <n v="25539"/>
    <n v="2263651.5"/>
    <n v="19"/>
    <n v="1605"/>
    <n v="1447"/>
    <n v="119139.55263157895"/>
    <x v="1"/>
  </r>
  <r>
    <x v="0"/>
    <x v="10"/>
    <n v="14808"/>
    <n v="1336789.5"/>
    <n v="16"/>
    <n v="917"/>
    <n v="802"/>
    <n v="83549.34375"/>
    <x v="0"/>
  </r>
  <r>
    <x v="18"/>
    <x v="11"/>
    <n v="21343.5"/>
    <n v="1906557"/>
    <n v="19"/>
    <n v="1314"/>
    <n v="1192"/>
    <n v="100345.10526315789"/>
    <x v="4"/>
  </r>
  <r>
    <x v="1"/>
    <x v="10"/>
    <n v="17946"/>
    <n v="1609090.5"/>
    <n v="16"/>
    <n v="1048"/>
    <n v="918"/>
    <n v="100568.15625"/>
    <x v="0"/>
  </r>
  <r>
    <x v="19"/>
    <x v="11"/>
    <n v="24337.5"/>
    <n v="2159350.5"/>
    <n v="19"/>
    <n v="1509"/>
    <n v="1374"/>
    <n v="113650.02631578948"/>
    <x v="3"/>
  </r>
  <r>
    <x v="20"/>
    <x v="11"/>
    <n v="36997.5"/>
    <n v="3089140.5"/>
    <n v="19"/>
    <n v="2195"/>
    <n v="1999"/>
    <n v="162586.34210526315"/>
    <x v="2"/>
  </r>
  <r>
    <x v="2"/>
    <x v="10"/>
    <n v="13864.5"/>
    <n v="1239747"/>
    <n v="16"/>
    <n v="876"/>
    <n v="762"/>
    <n v="77484.1875"/>
    <x v="0"/>
  </r>
  <r>
    <x v="21"/>
    <x v="11"/>
    <n v="28494"/>
    <n v="2512803"/>
    <n v="20"/>
    <n v="1899"/>
    <n v="1738"/>
    <n v="125640.15"/>
    <x v="0"/>
  </r>
  <r>
    <x v="22"/>
    <x v="11"/>
    <n v="27883.5"/>
    <n v="2560080"/>
    <n v="19"/>
    <n v="1662"/>
    <n v="1506"/>
    <n v="134741.05263157896"/>
    <x v="4"/>
  </r>
  <r>
    <x v="23"/>
    <x v="11"/>
    <n v="31224"/>
    <n v="2767270.5"/>
    <n v="19"/>
    <n v="1836"/>
    <n v="1680"/>
    <n v="145645.81578947368"/>
    <x v="3"/>
  </r>
  <r>
    <x v="24"/>
    <x v="11"/>
    <n v="25020"/>
    <n v="2235960"/>
    <n v="19"/>
    <n v="1520"/>
    <n v="1380"/>
    <n v="117682.10526315789"/>
    <x v="3"/>
  </r>
  <r>
    <x v="25"/>
    <x v="11"/>
    <n v="26184"/>
    <n v="2308336.5"/>
    <n v="19"/>
    <n v="1580"/>
    <n v="1435"/>
    <n v="121491.39473684211"/>
    <x v="3"/>
  </r>
  <r>
    <x v="26"/>
    <x v="11"/>
    <n v="29824.5"/>
    <n v="2526909"/>
    <n v="19"/>
    <n v="1868"/>
    <n v="1706"/>
    <n v="132995.21052631579"/>
    <x v="2"/>
  </r>
  <r>
    <x v="8"/>
    <x v="12"/>
    <n v="208351.5"/>
    <n v="21615333"/>
    <n v="59"/>
    <n v="13186"/>
    <n v="12251"/>
    <n v="366361.57627118647"/>
    <x v="4"/>
  </r>
  <r>
    <x v="16"/>
    <x v="12"/>
    <n v="204637.5"/>
    <n v="21114898.5"/>
    <n v="59"/>
    <n v="12943"/>
    <n v="12072"/>
    <n v="357879.63559322036"/>
    <x v="4"/>
  </r>
  <r>
    <x v="0"/>
    <x v="11"/>
    <n v="31372.5"/>
    <n v="2794324.5"/>
    <n v="21"/>
    <n v="2056"/>
    <n v="1879"/>
    <n v="133063.07142857142"/>
    <x v="0"/>
  </r>
  <r>
    <x v="1"/>
    <x v="11"/>
    <n v="34681.5"/>
    <n v="3005334"/>
    <n v="20"/>
    <n v="2174"/>
    <n v="1957"/>
    <n v="150266.70000000001"/>
    <x v="0"/>
  </r>
  <r>
    <x v="2"/>
    <x v="11"/>
    <n v="28197"/>
    <n v="2559211.5"/>
    <n v="20"/>
    <n v="1875"/>
    <n v="1701"/>
    <n v="127960.575"/>
    <x v="0"/>
  </r>
  <r>
    <x v="3"/>
    <x v="12"/>
    <n v="236551.5"/>
    <n v="23689383"/>
    <n v="60"/>
    <n v="14049"/>
    <n v="13118"/>
    <n v="394823.05"/>
    <x v="1"/>
  </r>
  <r>
    <x v="4"/>
    <x v="12"/>
    <n v="223597.5"/>
    <n v="21945858"/>
    <n v="60"/>
    <n v="13867"/>
    <n v="12987"/>
    <n v="365764.3"/>
    <x v="2"/>
  </r>
  <r>
    <x v="5"/>
    <x v="12"/>
    <n v="193363.5"/>
    <n v="19546386"/>
    <n v="60"/>
    <n v="11698"/>
    <n v="10989"/>
    <n v="325773.09999999998"/>
    <x v="1"/>
  </r>
  <r>
    <x v="6"/>
    <x v="12"/>
    <n v="188319"/>
    <n v="19218631.5"/>
    <n v="59"/>
    <n v="12016"/>
    <n v="11137"/>
    <n v="325739.51694915252"/>
    <x v="3"/>
  </r>
  <r>
    <x v="7"/>
    <x v="12"/>
    <n v="237544.5"/>
    <n v="24292218"/>
    <n v="59"/>
    <n v="14423"/>
    <n v="13432"/>
    <n v="411732.50847457629"/>
    <x v="3"/>
  </r>
  <r>
    <x v="8"/>
    <x v="13"/>
    <n v="203209.5"/>
    <n v="20871391.5"/>
    <n v="54"/>
    <n v="12747"/>
    <n v="11884"/>
    <n v="386507.25"/>
    <x v="4"/>
  </r>
  <r>
    <x v="9"/>
    <x v="12"/>
    <n v="185979"/>
    <n v="19625364"/>
    <n v="59"/>
    <n v="12429"/>
    <n v="11477"/>
    <n v="332633.28813559323"/>
    <x v="4"/>
  </r>
  <r>
    <x v="10"/>
    <x v="12"/>
    <n v="244905"/>
    <n v="25163431.5"/>
    <n v="59"/>
    <n v="15369"/>
    <n v="14299"/>
    <n v="426498.83898305084"/>
    <x v="0"/>
  </r>
  <r>
    <x v="11"/>
    <x v="12"/>
    <n v="239409"/>
    <n v="25413351"/>
    <n v="59"/>
    <n v="15222"/>
    <n v="13873"/>
    <n v="430734.76271186443"/>
    <x v="4"/>
  </r>
  <r>
    <x v="12"/>
    <x v="12"/>
    <n v="192886.5"/>
    <n v="19205179.5"/>
    <n v="60"/>
    <n v="12000"/>
    <n v="11194"/>
    <n v="320086.32500000001"/>
    <x v="1"/>
  </r>
  <r>
    <x v="13"/>
    <x v="12"/>
    <n v="224233.5"/>
    <n v="22253295"/>
    <n v="60"/>
    <n v="14005"/>
    <n v="13002"/>
    <n v="370888.25"/>
    <x v="2"/>
  </r>
  <r>
    <x v="14"/>
    <x v="12"/>
    <n v="219622.5"/>
    <n v="21959286"/>
    <n v="60"/>
    <n v="13792"/>
    <n v="12834"/>
    <n v="365988.1"/>
    <x v="2"/>
  </r>
  <r>
    <x v="15"/>
    <x v="12"/>
    <n v="213582"/>
    <n v="21919435.5"/>
    <n v="59"/>
    <n v="13469"/>
    <n v="12486"/>
    <n v="371515.85593220341"/>
    <x v="3"/>
  </r>
  <r>
    <x v="16"/>
    <x v="13"/>
    <n v="195705"/>
    <n v="20003263.5"/>
    <n v="54"/>
    <n v="12306"/>
    <n v="11532"/>
    <n v="370430.80555555556"/>
    <x v="4"/>
  </r>
  <r>
    <x v="17"/>
    <x v="12"/>
    <n v="193722"/>
    <n v="19437273"/>
    <n v="60"/>
    <n v="12007"/>
    <n v="11245"/>
    <n v="323954.55"/>
    <x v="1"/>
  </r>
  <r>
    <x v="18"/>
    <x v="12"/>
    <n v="257215.5"/>
    <n v="26492278.5"/>
    <n v="59"/>
    <n v="15277"/>
    <n v="14163"/>
    <n v="449021.66949152545"/>
    <x v="4"/>
  </r>
  <r>
    <x v="19"/>
    <x v="12"/>
    <n v="224779.5"/>
    <n v="23032992"/>
    <n v="59"/>
    <n v="14103"/>
    <n v="13118"/>
    <n v="390389.69491525425"/>
    <x v="3"/>
  </r>
  <r>
    <x v="20"/>
    <x v="12"/>
    <n v="292018.5"/>
    <n v="28590910.5"/>
    <n v="60"/>
    <n v="17295"/>
    <n v="16010"/>
    <n v="476515.17499999999"/>
    <x v="2"/>
  </r>
  <r>
    <x v="21"/>
    <x v="12"/>
    <n v="198751.5"/>
    <n v="20582743.5"/>
    <n v="59"/>
    <n v="12983"/>
    <n v="12056"/>
    <n v="348860.05932203389"/>
    <x v="0"/>
  </r>
  <r>
    <x v="22"/>
    <x v="12"/>
    <n v="214386"/>
    <n v="22530000"/>
    <n v="59"/>
    <n v="13251"/>
    <n v="12255"/>
    <n v="381864.40677966102"/>
    <x v="4"/>
  </r>
  <r>
    <x v="23"/>
    <x v="12"/>
    <n v="243825"/>
    <n v="24890404.5"/>
    <n v="59"/>
    <n v="14569"/>
    <n v="13566"/>
    <n v="421871.26271186443"/>
    <x v="3"/>
  </r>
  <r>
    <x v="24"/>
    <x v="12"/>
    <n v="232701"/>
    <n v="23881948.5"/>
    <n v="59"/>
    <n v="14098"/>
    <n v="13106"/>
    <n v="404778.78813559323"/>
    <x v="3"/>
  </r>
  <r>
    <x v="25"/>
    <x v="12"/>
    <n v="219411"/>
    <n v="22460130"/>
    <n v="59"/>
    <n v="13495"/>
    <n v="12517"/>
    <n v="380680.16949152545"/>
    <x v="3"/>
  </r>
  <r>
    <x v="26"/>
    <x v="12"/>
    <n v="200029.5"/>
    <n v="19959801"/>
    <n v="60"/>
    <n v="12822"/>
    <n v="11916"/>
    <n v="332663.34999999998"/>
    <x v="2"/>
  </r>
  <r>
    <x v="3"/>
    <x v="13"/>
    <n v="225480"/>
    <n v="22355338.5"/>
    <n v="54"/>
    <n v="13170"/>
    <n v="12299"/>
    <n v="413987.75"/>
    <x v="1"/>
  </r>
  <r>
    <x v="4"/>
    <x v="13"/>
    <n v="211453.5"/>
    <n v="20590072.5"/>
    <n v="54"/>
    <n v="13070"/>
    <n v="12244"/>
    <n v="381297.63888888888"/>
    <x v="2"/>
  </r>
  <r>
    <x v="5"/>
    <x v="13"/>
    <n v="184801.5"/>
    <n v="18449091"/>
    <n v="54"/>
    <n v="11128"/>
    <n v="10467"/>
    <n v="341649.83333333331"/>
    <x v="1"/>
  </r>
  <r>
    <x v="6"/>
    <x v="13"/>
    <n v="177976.5"/>
    <n v="18085798.5"/>
    <n v="54"/>
    <n v="11288"/>
    <n v="10492"/>
    <n v="334922.19444444444"/>
    <x v="3"/>
  </r>
  <r>
    <x v="7"/>
    <x v="13"/>
    <n v="223617"/>
    <n v="22796827.5"/>
    <n v="54"/>
    <n v="13606"/>
    <n v="12697"/>
    <n v="422163.47222222225"/>
    <x v="3"/>
  </r>
  <r>
    <x v="9"/>
    <x v="13"/>
    <n v="176397"/>
    <n v="18625921.5"/>
    <n v="54"/>
    <n v="11622"/>
    <n v="10754"/>
    <n v="344924.47222222225"/>
    <x v="4"/>
  </r>
  <r>
    <x v="10"/>
    <x v="13"/>
    <n v="232369.5"/>
    <n v="23856345"/>
    <n v="54"/>
    <n v="14482"/>
    <n v="13510"/>
    <n v="441784.16666666669"/>
    <x v="0"/>
  </r>
  <r>
    <x v="11"/>
    <x v="13"/>
    <n v="226540.5"/>
    <n v="23953536"/>
    <n v="54"/>
    <n v="14205"/>
    <n v="13026"/>
    <n v="443584"/>
    <x v="4"/>
  </r>
  <r>
    <x v="12"/>
    <x v="13"/>
    <n v="189679.5"/>
    <n v="18718036.5"/>
    <n v="54"/>
    <n v="11614"/>
    <n v="10862"/>
    <n v="346630.30555555556"/>
    <x v="1"/>
  </r>
  <r>
    <x v="13"/>
    <x v="13"/>
    <n v="213640.5"/>
    <n v="21042673.5"/>
    <n v="54"/>
    <n v="13240"/>
    <n v="12360"/>
    <n v="389679.13888888888"/>
    <x v="2"/>
  </r>
  <r>
    <x v="14"/>
    <x v="13"/>
    <n v="214885.5"/>
    <n v="21411349.5"/>
    <n v="54"/>
    <n v="13298"/>
    <n v="12428"/>
    <n v="396506.47222222225"/>
    <x v="2"/>
  </r>
  <r>
    <x v="15"/>
    <x v="13"/>
    <n v="203832"/>
    <n v="20880142.5"/>
    <n v="54"/>
    <n v="12775"/>
    <n v="11887"/>
    <n v="386669.30555555556"/>
    <x v="3"/>
  </r>
  <r>
    <x v="17"/>
    <x v="13"/>
    <n v="188662.5"/>
    <n v="18784000.5"/>
    <n v="54"/>
    <n v="11522"/>
    <n v="10803"/>
    <n v="347851.86111111112"/>
    <x v="1"/>
  </r>
  <r>
    <x v="0"/>
    <x v="12"/>
    <n v="215277"/>
    <n v="21585316.5"/>
    <n v="59"/>
    <n v="13684"/>
    <n v="12690"/>
    <n v="365852.82203389832"/>
    <x v="0"/>
  </r>
  <r>
    <x v="18"/>
    <x v="13"/>
    <n v="248148"/>
    <n v="25519072.5"/>
    <n v="54"/>
    <n v="14823"/>
    <n v="13751"/>
    <n v="472575.41666666669"/>
    <x v="4"/>
  </r>
  <r>
    <x v="1"/>
    <x v="12"/>
    <n v="246414"/>
    <n v="24527245.5"/>
    <n v="59"/>
    <n v="15030"/>
    <n v="13956"/>
    <n v="415716.0254237288"/>
    <x v="0"/>
  </r>
  <r>
    <x v="19"/>
    <x v="13"/>
    <n v="216498"/>
    <n v="22126444.5"/>
    <n v="54"/>
    <n v="13406"/>
    <n v="12518"/>
    <n v="409748.97222222225"/>
    <x v="3"/>
  </r>
  <r>
    <x v="20"/>
    <x v="13"/>
    <n v="275793"/>
    <n v="26806626"/>
    <n v="54"/>
    <n v="16221"/>
    <n v="15065"/>
    <n v="496419"/>
    <x v="2"/>
  </r>
  <r>
    <x v="2"/>
    <x v="12"/>
    <n v="199753.5"/>
    <n v="20535733.5"/>
    <n v="60"/>
    <n v="12854"/>
    <n v="11954"/>
    <n v="342262.22499999998"/>
    <x v="0"/>
  </r>
  <r>
    <x v="21"/>
    <x v="13"/>
    <n v="192948"/>
    <n v="19806927"/>
    <n v="54"/>
    <n v="12336"/>
    <n v="11519"/>
    <n v="366794.94444444444"/>
    <x v="0"/>
  </r>
  <r>
    <x v="22"/>
    <x v="13"/>
    <n v="206038.5"/>
    <n v="21740460"/>
    <n v="54"/>
    <n v="12817"/>
    <n v="11865"/>
    <n v="402601.11111111112"/>
    <x v="4"/>
  </r>
  <r>
    <x v="23"/>
    <x v="13"/>
    <n v="231559.5"/>
    <n v="23443725"/>
    <n v="54"/>
    <n v="13832"/>
    <n v="12864"/>
    <n v="434143.05555555556"/>
    <x v="3"/>
  </r>
  <r>
    <x v="24"/>
    <x v="13"/>
    <n v="225076.5"/>
    <n v="22846078.5"/>
    <n v="54"/>
    <n v="13563"/>
    <n v="12604"/>
    <n v="423075.52777777775"/>
    <x v="3"/>
  </r>
  <r>
    <x v="25"/>
    <x v="13"/>
    <n v="209415"/>
    <n v="21463023"/>
    <n v="54"/>
    <n v="12743"/>
    <n v="11858"/>
    <n v="397463.38888888888"/>
    <x v="3"/>
  </r>
  <r>
    <x v="26"/>
    <x v="13"/>
    <n v="193719"/>
    <n v="19071117"/>
    <n v="54"/>
    <n v="12211"/>
    <n v="11427"/>
    <n v="353168.83333333331"/>
    <x v="2"/>
  </r>
  <r>
    <x v="8"/>
    <x v="14"/>
    <n v="12250.5"/>
    <n v="981519"/>
    <n v="15"/>
    <n v="659"/>
    <n v="575"/>
    <n v="65434.6"/>
    <x v="4"/>
  </r>
  <r>
    <x v="16"/>
    <x v="14"/>
    <n v="12541.5"/>
    <n v="992541"/>
    <n v="15"/>
    <n v="636"/>
    <n v="547"/>
    <n v="66169.399999999994"/>
    <x v="4"/>
  </r>
  <r>
    <x v="0"/>
    <x v="13"/>
    <n v="206758.5"/>
    <n v="20717248.5"/>
    <n v="54"/>
    <n v="13106"/>
    <n v="12164"/>
    <n v="383652.75"/>
    <x v="0"/>
  </r>
  <r>
    <x v="1"/>
    <x v="13"/>
    <n v="244734"/>
    <n v="24151980"/>
    <n v="54"/>
    <n v="14590"/>
    <n v="13551"/>
    <n v="447258.88888888888"/>
    <x v="0"/>
  </r>
  <r>
    <x v="2"/>
    <x v="13"/>
    <n v="191641.5"/>
    <n v="19549036.5"/>
    <n v="54"/>
    <n v="12409"/>
    <n v="11582"/>
    <n v="362019.19444444444"/>
    <x v="0"/>
  </r>
  <r>
    <x v="3"/>
    <x v="14"/>
    <n v="16368"/>
    <n v="1316350.5"/>
    <n v="16"/>
    <n v="920"/>
    <n v="818"/>
    <n v="82271.90625"/>
    <x v="1"/>
  </r>
  <r>
    <x v="4"/>
    <x v="14"/>
    <n v="14427"/>
    <n v="1126810.5"/>
    <n v="17"/>
    <n v="857"/>
    <n v="757"/>
    <n v="66282.970588235301"/>
    <x v="2"/>
  </r>
  <r>
    <x v="5"/>
    <x v="14"/>
    <n v="13440"/>
    <n v="1157529"/>
    <n v="16"/>
    <n v="859"/>
    <n v="746"/>
    <n v="72345.5625"/>
    <x v="1"/>
  </r>
  <r>
    <x v="6"/>
    <x v="14"/>
    <n v="11745"/>
    <n v="955801.5"/>
    <n v="15"/>
    <n v="654"/>
    <n v="570"/>
    <n v="63720.1"/>
    <x v="3"/>
  </r>
  <r>
    <x v="7"/>
    <x v="14"/>
    <n v="11062.5"/>
    <n v="906343.5"/>
    <n v="15"/>
    <n v="622"/>
    <n v="538"/>
    <n v="60422.9"/>
    <x v="3"/>
  </r>
  <r>
    <x v="9"/>
    <x v="14"/>
    <n v="10018.5"/>
    <n v="816859.5"/>
    <n v="15"/>
    <n v="567"/>
    <n v="493"/>
    <n v="54457.3"/>
    <x v="4"/>
  </r>
  <r>
    <x v="10"/>
    <x v="15"/>
    <n v="10437"/>
    <n v="833815.5"/>
    <n v="7"/>
    <n v="577"/>
    <n v="389"/>
    <n v="119116.5"/>
    <x v="0"/>
  </r>
  <r>
    <x v="11"/>
    <x v="14"/>
    <n v="13644"/>
    <n v="1134444"/>
    <n v="15"/>
    <n v="721"/>
    <n v="625"/>
    <n v="75629.600000000006"/>
    <x v="4"/>
  </r>
  <r>
    <x v="12"/>
    <x v="14"/>
    <n v="13443"/>
    <n v="1092277.5"/>
    <n v="15"/>
    <n v="750"/>
    <n v="659"/>
    <n v="72818.5"/>
    <x v="1"/>
  </r>
  <r>
    <x v="13"/>
    <x v="14"/>
    <n v="14182.5"/>
    <n v="1172574"/>
    <n v="18"/>
    <n v="888"/>
    <n v="786"/>
    <n v="65143"/>
    <x v="2"/>
  </r>
  <r>
    <x v="14"/>
    <x v="14"/>
    <n v="14928"/>
    <n v="1217749.5"/>
    <n v="17"/>
    <n v="890"/>
    <n v="794"/>
    <n v="71632.323529411762"/>
    <x v="2"/>
  </r>
  <r>
    <x v="15"/>
    <x v="14"/>
    <n v="13941"/>
    <n v="1145575.5"/>
    <n v="15"/>
    <n v="750"/>
    <n v="658"/>
    <n v="76371.7"/>
    <x v="3"/>
  </r>
  <r>
    <x v="17"/>
    <x v="14"/>
    <n v="14643"/>
    <n v="1172691"/>
    <n v="15"/>
    <n v="854"/>
    <n v="756"/>
    <n v="78179.399999999994"/>
    <x v="1"/>
  </r>
  <r>
    <x v="18"/>
    <x v="14"/>
    <n v="10032"/>
    <n v="816150"/>
    <n v="15"/>
    <n v="585"/>
    <n v="502"/>
    <n v="54410"/>
    <x v="4"/>
  </r>
  <r>
    <x v="19"/>
    <x v="14"/>
    <n v="12468"/>
    <n v="1016566.5"/>
    <n v="15"/>
    <n v="701"/>
    <n v="611"/>
    <n v="67771.100000000006"/>
    <x v="3"/>
  </r>
  <r>
    <x v="20"/>
    <x v="14"/>
    <n v="17943"/>
    <n v="1457391"/>
    <n v="18"/>
    <n v="1031"/>
    <n v="918"/>
    <n v="80966.166666666672"/>
    <x v="2"/>
  </r>
  <r>
    <x v="21"/>
    <x v="14"/>
    <n v="15807"/>
    <n v="1326705"/>
    <n v="18"/>
    <n v="989"/>
    <n v="887"/>
    <n v="73705.833333333328"/>
    <x v="0"/>
  </r>
  <r>
    <x v="22"/>
    <x v="14"/>
    <n v="11976"/>
    <n v="1004511"/>
    <n v="15"/>
    <n v="644"/>
    <n v="550"/>
    <n v="66967.399999999994"/>
    <x v="4"/>
  </r>
  <r>
    <x v="23"/>
    <x v="14"/>
    <n v="14566.5"/>
    <n v="1216557"/>
    <n v="15"/>
    <n v="792"/>
    <n v="695"/>
    <n v="81103.8"/>
    <x v="3"/>
  </r>
  <r>
    <x v="24"/>
    <x v="14"/>
    <n v="12976.5"/>
    <n v="1046848.5"/>
    <n v="15"/>
    <n v="703"/>
    <n v="609"/>
    <n v="69789.899999999994"/>
    <x v="3"/>
  </r>
  <r>
    <x v="25"/>
    <x v="14"/>
    <n v="11719.5"/>
    <n v="965880"/>
    <n v="15"/>
    <n v="676"/>
    <n v="591"/>
    <n v="64392"/>
    <x v="3"/>
  </r>
  <r>
    <x v="26"/>
    <x v="14"/>
    <n v="17197.5"/>
    <n v="1386262.5"/>
    <n v="18"/>
    <n v="1006"/>
    <n v="904"/>
    <n v="77014.583333333328"/>
    <x v="2"/>
  </r>
  <r>
    <x v="10"/>
    <x v="14"/>
    <n v="14419.5"/>
    <n v="1210456.5"/>
    <n v="18"/>
    <n v="914"/>
    <n v="804"/>
    <n v="67247.583333333328"/>
    <x v="0"/>
  </r>
  <r>
    <x v="27"/>
    <x v="0"/>
    <n v="7816.5"/>
    <n v="636345"/>
    <n v="15"/>
    <n v="453"/>
    <n v="370"/>
    <n v="42423"/>
    <x v="5"/>
  </r>
  <r>
    <x v="0"/>
    <x v="16"/>
    <n v="6409.5"/>
    <n v="493893"/>
    <n v="9"/>
    <n v="345"/>
    <n v="255"/>
    <n v="54877"/>
    <x v="0"/>
  </r>
  <r>
    <x v="1"/>
    <x v="15"/>
    <n v="11220"/>
    <n v="928675.5"/>
    <n v="7"/>
    <n v="532"/>
    <n v="449"/>
    <n v="132667.92857142858"/>
    <x v="0"/>
  </r>
  <r>
    <x v="28"/>
    <x v="0"/>
    <n v="8350.5"/>
    <n v="651237"/>
    <n v="15"/>
    <n v="400"/>
    <n v="329"/>
    <n v="43415.8"/>
    <x v="0"/>
  </r>
  <r>
    <x v="2"/>
    <x v="15"/>
    <n v="8428.5"/>
    <n v="694669.5"/>
    <n v="7"/>
    <n v="420"/>
    <n v="347"/>
    <n v="99238.5"/>
    <x v="0"/>
  </r>
  <r>
    <x v="29"/>
    <x v="1"/>
    <n v="32817"/>
    <n v="3015751.5"/>
    <n v="20"/>
    <n v="2079"/>
    <n v="1893"/>
    <n v="150787.57500000001"/>
    <x v="0"/>
  </r>
  <r>
    <x v="30"/>
    <x v="1"/>
    <n v="36031.5"/>
    <n v="3091069.5"/>
    <n v="21"/>
    <n v="2046"/>
    <n v="1853"/>
    <n v="147193.78571428571"/>
    <x v="2"/>
  </r>
  <r>
    <x v="0"/>
    <x v="17"/>
    <n v="5127"/>
    <n v="468835.5"/>
    <n v="6"/>
    <n v="261"/>
    <n v="188"/>
    <n v="78139.25"/>
    <x v="0"/>
  </r>
  <r>
    <x v="31"/>
    <x v="1"/>
    <n v="27187.5"/>
    <n v="2479396.5"/>
    <n v="21"/>
    <n v="1597"/>
    <n v="1457"/>
    <n v="118066.5"/>
    <x v="1"/>
  </r>
  <r>
    <x v="1"/>
    <x v="14"/>
    <n v="20688"/>
    <n v="1773154.5"/>
    <n v="18"/>
    <n v="1216"/>
    <n v="1101"/>
    <n v="98508.583333333328"/>
    <x v="0"/>
  </r>
  <r>
    <x v="2"/>
    <x v="14"/>
    <n v="15678"/>
    <n v="1387443"/>
    <n v="18"/>
    <n v="1020"/>
    <n v="911"/>
    <n v="77080.166666666672"/>
    <x v="0"/>
  </r>
  <r>
    <x v="32"/>
    <x v="1"/>
    <n v="31329"/>
    <n v="2826379.5"/>
    <n v="21"/>
    <n v="1834"/>
    <n v="1660"/>
    <n v="134589.5"/>
    <x v="2"/>
  </r>
  <r>
    <x v="33"/>
    <x v="1"/>
    <n v="29658"/>
    <n v="2703132"/>
    <n v="21"/>
    <n v="1706"/>
    <n v="1548"/>
    <n v="128720.57142857143"/>
    <x v="1"/>
  </r>
  <r>
    <x v="34"/>
    <x v="1"/>
    <n v="34150.5"/>
    <n v="3038293.5"/>
    <n v="21"/>
    <n v="1926"/>
    <n v="1742"/>
    <n v="144680.64285714287"/>
    <x v="1"/>
  </r>
  <r>
    <x v="27"/>
    <x v="1"/>
    <n v="31947"/>
    <n v="2945035.5"/>
    <n v="21"/>
    <n v="2025"/>
    <n v="1849"/>
    <n v="140239.78571428571"/>
    <x v="5"/>
  </r>
  <r>
    <x v="0"/>
    <x v="15"/>
    <n v="10416"/>
    <n v="866023.5"/>
    <n v="7"/>
    <n v="530"/>
    <n v="447"/>
    <n v="123717.64285714286"/>
    <x v="0"/>
  </r>
  <r>
    <x v="28"/>
    <x v="1"/>
    <n v="35431.5"/>
    <n v="3193167"/>
    <n v="20"/>
    <n v="2111"/>
    <n v="1917"/>
    <n v="159658.35"/>
    <x v="0"/>
  </r>
  <r>
    <x v="29"/>
    <x v="2"/>
    <n v="78544.5"/>
    <n v="6701083.5"/>
    <n v="31"/>
    <n v="5330"/>
    <n v="4977"/>
    <n v="216163.98387096773"/>
    <x v="0"/>
  </r>
  <r>
    <x v="30"/>
    <x v="2"/>
    <n v="97963.5"/>
    <n v="7728465"/>
    <n v="31"/>
    <n v="5965"/>
    <n v="5533"/>
    <n v="249305.32258064515"/>
    <x v="2"/>
  </r>
  <r>
    <x v="27"/>
    <x v="2"/>
    <n v="77269.5"/>
    <n v="6829921.5"/>
    <n v="31"/>
    <n v="5468"/>
    <n v="5081"/>
    <n v="220320.04838709679"/>
    <x v="5"/>
  </r>
  <r>
    <x v="0"/>
    <x v="14"/>
    <n v="16143"/>
    <n v="1423410"/>
    <n v="18"/>
    <n v="1029"/>
    <n v="925"/>
    <n v="79078.333333333328"/>
    <x v="0"/>
  </r>
  <r>
    <x v="31"/>
    <x v="2"/>
    <n v="72220.5"/>
    <n v="6398719.5"/>
    <n v="31"/>
    <n v="4826"/>
    <n v="4483"/>
    <n v="206410.30645161291"/>
    <x v="1"/>
  </r>
  <r>
    <x v="32"/>
    <x v="2"/>
    <n v="78058.5"/>
    <n v="6609714"/>
    <n v="31"/>
    <n v="5165"/>
    <n v="4813"/>
    <n v="213216.5806451613"/>
    <x v="2"/>
  </r>
  <r>
    <x v="33"/>
    <x v="2"/>
    <n v="70498.5"/>
    <n v="6053649"/>
    <n v="31"/>
    <n v="4695"/>
    <n v="4372"/>
    <n v="195279"/>
    <x v="1"/>
  </r>
  <r>
    <x v="34"/>
    <x v="2"/>
    <n v="78961.5"/>
    <n v="6876454.5"/>
    <n v="31"/>
    <n v="5184"/>
    <n v="4778"/>
    <n v="221821.11290322582"/>
    <x v="1"/>
  </r>
  <r>
    <x v="29"/>
    <x v="3"/>
    <n v="12490.5"/>
    <n v="1054798.5"/>
    <n v="10"/>
    <n v="757"/>
    <n v="660"/>
    <n v="105479.85"/>
    <x v="0"/>
  </r>
  <r>
    <x v="30"/>
    <x v="3"/>
    <n v="18036"/>
    <n v="1455049.5"/>
    <n v="10"/>
    <n v="965"/>
    <n v="861"/>
    <n v="145504.95000000001"/>
    <x v="2"/>
  </r>
  <r>
    <x v="27"/>
    <x v="3"/>
    <n v="11416.5"/>
    <n v="1007742"/>
    <n v="10"/>
    <n v="719"/>
    <n v="627"/>
    <n v="100774.2"/>
    <x v="5"/>
  </r>
  <r>
    <x v="31"/>
    <x v="3"/>
    <n v="9007.5"/>
    <n v="734335.5"/>
    <n v="10"/>
    <n v="494"/>
    <n v="421"/>
    <n v="73433.55"/>
    <x v="1"/>
  </r>
  <r>
    <x v="28"/>
    <x v="2"/>
    <n v="87552"/>
    <n v="7387116"/>
    <n v="31"/>
    <n v="5751"/>
    <n v="5319"/>
    <n v="238294.06451612903"/>
    <x v="0"/>
  </r>
  <r>
    <x v="32"/>
    <x v="3"/>
    <n v="11680.5"/>
    <n v="936427.5"/>
    <n v="10"/>
    <n v="645"/>
    <n v="565"/>
    <n v="93642.75"/>
    <x v="2"/>
  </r>
  <r>
    <x v="33"/>
    <x v="3"/>
    <n v="12037.5"/>
    <n v="981564"/>
    <n v="10"/>
    <n v="627"/>
    <n v="545"/>
    <n v="98156.4"/>
    <x v="1"/>
  </r>
  <r>
    <x v="34"/>
    <x v="3"/>
    <n v="14421"/>
    <n v="1150579.5"/>
    <n v="10"/>
    <n v="743"/>
    <n v="652"/>
    <n v="115057.95"/>
    <x v="1"/>
  </r>
  <r>
    <x v="28"/>
    <x v="3"/>
    <n v="14823"/>
    <n v="1273464"/>
    <n v="10"/>
    <n v="873"/>
    <n v="770"/>
    <n v="127346.4"/>
    <x v="0"/>
  </r>
  <r>
    <x v="29"/>
    <x v="4"/>
    <n v="31257"/>
    <n v="2924133"/>
    <n v="20"/>
    <n v="2079"/>
    <n v="1856"/>
    <n v="146206.65"/>
    <x v="0"/>
  </r>
  <r>
    <x v="30"/>
    <x v="4"/>
    <n v="38074.5"/>
    <n v="3414180"/>
    <n v="20"/>
    <n v="2306"/>
    <n v="2054"/>
    <n v="170709"/>
    <x v="2"/>
  </r>
  <r>
    <x v="27"/>
    <x v="4"/>
    <n v="32170.5"/>
    <n v="3013512"/>
    <n v="20"/>
    <n v="2136"/>
    <n v="1899"/>
    <n v="150675.6"/>
    <x v="5"/>
  </r>
  <r>
    <x v="31"/>
    <x v="4"/>
    <n v="42397.5"/>
    <n v="3911979"/>
    <n v="19"/>
    <n v="2530"/>
    <n v="2270"/>
    <n v="205893.63157894736"/>
    <x v="1"/>
  </r>
  <r>
    <x v="32"/>
    <x v="4"/>
    <n v="28668"/>
    <n v="2588148"/>
    <n v="19"/>
    <n v="1858"/>
    <n v="1648"/>
    <n v="136218.31578947368"/>
    <x v="2"/>
  </r>
  <r>
    <x v="33"/>
    <x v="4"/>
    <n v="27411"/>
    <n v="2441520"/>
    <n v="19"/>
    <n v="1675"/>
    <n v="1475"/>
    <n v="128501.05263157895"/>
    <x v="1"/>
  </r>
  <r>
    <x v="34"/>
    <x v="4"/>
    <n v="32854.5"/>
    <n v="2949078"/>
    <n v="19"/>
    <n v="1940"/>
    <n v="1715"/>
    <n v="155214.63157894736"/>
    <x v="1"/>
  </r>
  <r>
    <x v="28"/>
    <x v="4"/>
    <n v="35346"/>
    <n v="3258054"/>
    <n v="20"/>
    <n v="2249"/>
    <n v="2000"/>
    <n v="162902.70000000001"/>
    <x v="0"/>
  </r>
  <r>
    <x v="29"/>
    <x v="5"/>
    <n v="286558.5"/>
    <n v="29256993"/>
    <n v="129"/>
    <n v="17115"/>
    <n v="15962"/>
    <n v="226798.39534883722"/>
    <x v="0"/>
  </r>
  <r>
    <x v="30"/>
    <x v="5"/>
    <n v="304092"/>
    <n v="29465769"/>
    <n v="129"/>
    <n v="17088"/>
    <n v="15804"/>
    <n v="228416.81395348837"/>
    <x v="2"/>
  </r>
  <r>
    <x v="27"/>
    <x v="5"/>
    <n v="272926.5"/>
    <n v="27770092.5"/>
    <n v="128"/>
    <n v="16285"/>
    <n v="15130"/>
    <n v="216953.84765625"/>
    <x v="5"/>
  </r>
  <r>
    <x v="31"/>
    <x v="5"/>
    <n v="237099"/>
    <n v="24628233.223949999"/>
    <n v="129"/>
    <n v="14043"/>
    <n v="13167"/>
    <n v="190916.53661976743"/>
    <x v="1"/>
  </r>
  <r>
    <x v="32"/>
    <x v="5"/>
    <n v="273900"/>
    <n v="27535284.147600003"/>
    <n v="129"/>
    <n v="16110"/>
    <n v="14992"/>
    <n v="213451.81509767444"/>
    <x v="2"/>
  </r>
  <r>
    <x v="33"/>
    <x v="5"/>
    <n v="274059"/>
    <n v="28181292"/>
    <n v="129"/>
    <n v="15804"/>
    <n v="14738"/>
    <n v="218459.62790697673"/>
    <x v="1"/>
  </r>
  <r>
    <x v="34"/>
    <x v="5"/>
    <n v="318816"/>
    <n v="32354331"/>
    <n v="129"/>
    <n v="17808"/>
    <n v="16486"/>
    <n v="250808.76744186046"/>
    <x v="1"/>
  </r>
  <r>
    <x v="29"/>
    <x v="6"/>
    <n v="370012.5"/>
    <n v="39034861.5"/>
    <n v="124"/>
    <n v="21384"/>
    <n v="19897"/>
    <n v="314797.2701612903"/>
    <x v="0"/>
  </r>
  <r>
    <x v="30"/>
    <x v="6"/>
    <n v="393018"/>
    <n v="39498373.5"/>
    <n v="125"/>
    <n v="21427"/>
    <n v="19799"/>
    <n v="315986.98800000001"/>
    <x v="2"/>
  </r>
  <r>
    <x v="27"/>
    <x v="6"/>
    <n v="349699.5"/>
    <n v="37257840.18135"/>
    <n v="123"/>
    <n v="20325"/>
    <n v="18935"/>
    <n v="302909.26976707316"/>
    <x v="5"/>
  </r>
  <r>
    <x v="31"/>
    <x v="6"/>
    <n v="318565.5"/>
    <n v="33781581"/>
    <n v="125"/>
    <n v="18066"/>
    <n v="16883"/>
    <n v="270252.64799999999"/>
    <x v="1"/>
  </r>
  <r>
    <x v="28"/>
    <x v="5"/>
    <n v="422965.5"/>
    <n v="41767140.105000004"/>
    <n v="129"/>
    <n v="22403"/>
    <n v="20676"/>
    <n v="323776.27988372097"/>
    <x v="0"/>
  </r>
  <r>
    <x v="32"/>
    <x v="6"/>
    <n v="355081.5"/>
    <n v="36876888"/>
    <n v="125"/>
    <n v="20449"/>
    <n v="19060"/>
    <n v="295015.10399999999"/>
    <x v="2"/>
  </r>
  <r>
    <x v="33"/>
    <x v="6"/>
    <n v="358387.5"/>
    <n v="37963150.5"/>
    <n v="125"/>
    <n v="20247"/>
    <n v="18812"/>
    <n v="303705.20400000003"/>
    <x v="1"/>
  </r>
  <r>
    <x v="34"/>
    <x v="6"/>
    <n v="403261.5"/>
    <n v="42271377"/>
    <n v="125"/>
    <n v="21862"/>
    <n v="20235"/>
    <n v="338171.016"/>
    <x v="1"/>
  </r>
  <r>
    <x v="29"/>
    <x v="7"/>
    <n v="69010.5"/>
    <n v="5985894"/>
    <n v="36"/>
    <n v="4951"/>
    <n v="4584"/>
    <n v="166274.83333333334"/>
    <x v="0"/>
  </r>
  <r>
    <x v="30"/>
    <x v="7"/>
    <n v="75820.5"/>
    <n v="5943489"/>
    <n v="36"/>
    <n v="4857"/>
    <n v="4456"/>
    <n v="165096.91666666666"/>
    <x v="2"/>
  </r>
  <r>
    <x v="27"/>
    <x v="7"/>
    <n v="64740"/>
    <n v="5800290"/>
    <n v="37"/>
    <n v="4722"/>
    <n v="4352"/>
    <n v="156764.59459459459"/>
    <x v="5"/>
  </r>
  <r>
    <x v="31"/>
    <x v="7"/>
    <n v="59574"/>
    <n v="5178169.5"/>
    <n v="36"/>
    <n v="4150"/>
    <n v="3838"/>
    <n v="143838.04166666666"/>
    <x v="1"/>
  </r>
  <r>
    <x v="28"/>
    <x v="6"/>
    <n v="524481"/>
    <n v="54172029"/>
    <n v="124"/>
    <n v="25828"/>
    <n v="23974"/>
    <n v="436871.20161290321"/>
    <x v="0"/>
  </r>
  <r>
    <x v="32"/>
    <x v="7"/>
    <n v="70278"/>
    <n v="5798476.5"/>
    <n v="36"/>
    <n v="4885"/>
    <n v="4502"/>
    <n v="161068.79166666666"/>
    <x v="2"/>
  </r>
  <r>
    <x v="33"/>
    <x v="7"/>
    <n v="63645"/>
    <n v="5366602.5"/>
    <n v="36"/>
    <n v="4285"/>
    <n v="3950"/>
    <n v="149072.29166666666"/>
    <x v="1"/>
  </r>
  <r>
    <x v="34"/>
    <x v="7"/>
    <n v="75642"/>
    <n v="6293952"/>
    <n v="36"/>
    <n v="4862"/>
    <n v="4476"/>
    <n v="174832"/>
    <x v="1"/>
  </r>
  <r>
    <x v="29"/>
    <x v="8"/>
    <n v="40420.5"/>
    <n v="3780852"/>
    <n v="21"/>
    <n v="2430"/>
    <n v="2216"/>
    <n v="180040.57142857142"/>
    <x v="0"/>
  </r>
  <r>
    <x v="30"/>
    <x v="8"/>
    <n v="53838"/>
    <n v="4840833"/>
    <n v="21"/>
    <n v="2861"/>
    <n v="2612"/>
    <n v="230515.85714285713"/>
    <x v="2"/>
  </r>
  <r>
    <x v="27"/>
    <x v="8"/>
    <n v="40528.5"/>
    <n v="3865251"/>
    <n v="23"/>
    <n v="2531"/>
    <n v="2296"/>
    <n v="168054.39130434784"/>
    <x v="5"/>
  </r>
  <r>
    <x v="31"/>
    <x v="8"/>
    <n v="32733"/>
    <n v="3079630.5"/>
    <n v="21"/>
    <n v="1916"/>
    <n v="1733"/>
    <n v="146649.07142857142"/>
    <x v="1"/>
  </r>
  <r>
    <x v="28"/>
    <x v="7"/>
    <n v="84433.5"/>
    <n v="7228395"/>
    <n v="37"/>
    <n v="5672"/>
    <n v="5198"/>
    <n v="195362.02702702704"/>
    <x v="0"/>
  </r>
  <r>
    <x v="32"/>
    <x v="8"/>
    <n v="36655.5"/>
    <n v="3360135"/>
    <n v="21"/>
    <n v="2136"/>
    <n v="1947"/>
    <n v="160006.42857142858"/>
    <x v="2"/>
  </r>
  <r>
    <x v="33"/>
    <x v="8"/>
    <n v="33886.5"/>
    <n v="3166479"/>
    <n v="21"/>
    <n v="1993"/>
    <n v="1796"/>
    <n v="150784.71428571429"/>
    <x v="1"/>
  </r>
  <r>
    <x v="34"/>
    <x v="8"/>
    <n v="41697"/>
    <n v="3772258.5"/>
    <n v="21"/>
    <n v="2255"/>
    <n v="2045"/>
    <n v="179631.35714285713"/>
    <x v="1"/>
  </r>
  <r>
    <x v="28"/>
    <x v="8"/>
    <n v="44569.5"/>
    <n v="4108596"/>
    <n v="22"/>
    <n v="2597"/>
    <n v="2379"/>
    <n v="186754.36363636365"/>
    <x v="0"/>
  </r>
  <r>
    <x v="29"/>
    <x v="9"/>
    <n v="18069"/>
    <n v="1603084.5"/>
    <n v="17"/>
    <n v="1203"/>
    <n v="1077"/>
    <n v="94299.088235294112"/>
    <x v="0"/>
  </r>
  <r>
    <x v="30"/>
    <x v="9"/>
    <n v="21483"/>
    <n v="1774329"/>
    <n v="17"/>
    <n v="1268"/>
    <n v="1129"/>
    <n v="104372.29411764706"/>
    <x v="2"/>
  </r>
  <r>
    <x v="27"/>
    <x v="9"/>
    <n v="16687.5"/>
    <n v="1526608.5"/>
    <n v="17"/>
    <n v="1185"/>
    <n v="1042"/>
    <n v="89800.5"/>
    <x v="5"/>
  </r>
  <r>
    <x v="31"/>
    <x v="9"/>
    <n v="12238.5"/>
    <n v="1096002"/>
    <n v="15"/>
    <n v="812"/>
    <n v="714"/>
    <n v="73066.8"/>
    <x v="1"/>
  </r>
  <r>
    <x v="32"/>
    <x v="9"/>
    <n v="14290.5"/>
    <n v="1246162.5"/>
    <n v="16"/>
    <n v="925"/>
    <n v="816"/>
    <n v="77885.15625"/>
    <x v="2"/>
  </r>
  <r>
    <x v="33"/>
    <x v="9"/>
    <n v="14385"/>
    <n v="1223491.5"/>
    <n v="15"/>
    <n v="890"/>
    <n v="777"/>
    <n v="81566.100000000006"/>
    <x v="1"/>
  </r>
  <r>
    <x v="34"/>
    <x v="9"/>
    <n v="16498.5"/>
    <n v="1370482.5"/>
    <n v="15"/>
    <n v="980"/>
    <n v="867"/>
    <n v="91365.5"/>
    <x v="1"/>
  </r>
  <r>
    <x v="29"/>
    <x v="10"/>
    <n v="13203"/>
    <n v="1211457"/>
    <n v="15"/>
    <n v="809"/>
    <n v="702"/>
    <n v="80763.8"/>
    <x v="0"/>
  </r>
  <r>
    <x v="30"/>
    <x v="10"/>
    <n v="15802.5"/>
    <n v="1411909.5"/>
    <n v="15"/>
    <n v="903"/>
    <n v="792"/>
    <n v="94127.3"/>
    <x v="2"/>
  </r>
  <r>
    <x v="27"/>
    <x v="10"/>
    <n v="16476"/>
    <n v="1565632.5"/>
    <n v="16"/>
    <n v="1019"/>
    <n v="895"/>
    <n v="97852.03125"/>
    <x v="5"/>
  </r>
  <r>
    <x v="31"/>
    <x v="10"/>
    <n v="12654"/>
    <n v="1081158"/>
    <n v="15"/>
    <n v="684"/>
    <n v="585"/>
    <n v="72077.2"/>
    <x v="1"/>
  </r>
  <r>
    <x v="28"/>
    <x v="9"/>
    <n v="19647"/>
    <n v="1764669"/>
    <n v="17"/>
    <n v="1296"/>
    <n v="1153"/>
    <n v="103804.05882352941"/>
    <x v="0"/>
  </r>
  <r>
    <x v="32"/>
    <x v="10"/>
    <n v="12450"/>
    <n v="1115146.5"/>
    <n v="15"/>
    <n v="729"/>
    <n v="636"/>
    <n v="74343.100000000006"/>
    <x v="2"/>
  </r>
  <r>
    <x v="33"/>
    <x v="10"/>
    <n v="11161.5"/>
    <n v="963502.5"/>
    <n v="15"/>
    <n v="638"/>
    <n v="548"/>
    <n v="64233.5"/>
    <x v="1"/>
  </r>
  <r>
    <x v="34"/>
    <x v="10"/>
    <n v="12229.5"/>
    <n v="1122730.5"/>
    <n v="15"/>
    <n v="688"/>
    <n v="598"/>
    <n v="74848.7"/>
    <x v="1"/>
  </r>
  <r>
    <x v="29"/>
    <x v="11"/>
    <n v="28050"/>
    <n v="2458555.5"/>
    <n v="20"/>
    <n v="1873"/>
    <n v="1715"/>
    <n v="122927.77499999999"/>
    <x v="0"/>
  </r>
  <r>
    <x v="30"/>
    <x v="11"/>
    <n v="30781.5"/>
    <n v="2540715"/>
    <n v="19"/>
    <n v="1859"/>
    <n v="1697"/>
    <n v="133721.84210526315"/>
    <x v="2"/>
  </r>
  <r>
    <x v="27"/>
    <x v="11"/>
    <n v="27960"/>
    <n v="2538967.5"/>
    <n v="21"/>
    <n v="1879"/>
    <n v="1720"/>
    <n v="120903.21428571429"/>
    <x v="5"/>
  </r>
  <r>
    <x v="31"/>
    <x v="11"/>
    <n v="23629.5"/>
    <n v="2164365"/>
    <n v="19"/>
    <n v="1527"/>
    <n v="1389"/>
    <n v="113913.94736842105"/>
    <x v="1"/>
  </r>
  <r>
    <x v="28"/>
    <x v="10"/>
    <n v="17052"/>
    <n v="1549020"/>
    <n v="16"/>
    <n v="981"/>
    <n v="859"/>
    <n v="96813.75"/>
    <x v="0"/>
  </r>
  <r>
    <x v="32"/>
    <x v="11"/>
    <n v="27181.5"/>
    <n v="2324490"/>
    <n v="19"/>
    <n v="1741"/>
    <n v="1597"/>
    <n v="122341.57894736843"/>
    <x v="2"/>
  </r>
  <r>
    <x v="33"/>
    <x v="11"/>
    <n v="25656"/>
    <n v="2225341.5"/>
    <n v="19"/>
    <n v="1635"/>
    <n v="1487"/>
    <n v="117123.23684210527"/>
    <x v="1"/>
  </r>
  <r>
    <x v="34"/>
    <x v="11"/>
    <n v="29283"/>
    <n v="2477487"/>
    <n v="19"/>
    <n v="1780"/>
    <n v="1615"/>
    <n v="130394.05263157895"/>
    <x v="1"/>
  </r>
  <r>
    <x v="28"/>
    <x v="11"/>
    <n v="32782.5"/>
    <n v="2854741.5"/>
    <n v="20"/>
    <n v="2064"/>
    <n v="1896"/>
    <n v="142737.07500000001"/>
    <x v="0"/>
  </r>
  <r>
    <x v="29"/>
    <x v="12"/>
    <n v="215592"/>
    <n v="22342300.5"/>
    <n v="59"/>
    <n v="13942"/>
    <n v="12986"/>
    <n v="378683.05932203389"/>
    <x v="0"/>
  </r>
  <r>
    <x v="30"/>
    <x v="12"/>
    <n v="228334.5"/>
    <n v="22380772.5"/>
    <n v="60"/>
    <n v="14050"/>
    <n v="13027"/>
    <n v="373012.875"/>
    <x v="2"/>
  </r>
  <r>
    <x v="27"/>
    <x v="12"/>
    <n v="188776.5"/>
    <n v="19465372.5"/>
    <n v="59"/>
    <n v="12299"/>
    <n v="11448"/>
    <n v="329921.56779661018"/>
    <x v="5"/>
  </r>
  <r>
    <x v="31"/>
    <x v="12"/>
    <n v="175293"/>
    <n v="17919144"/>
    <n v="60"/>
    <n v="11100"/>
    <n v="10407"/>
    <n v="298652.40000000002"/>
    <x v="1"/>
  </r>
  <r>
    <x v="32"/>
    <x v="12"/>
    <n v="201999"/>
    <n v="20422435.5"/>
    <n v="60"/>
    <n v="12460"/>
    <n v="11665"/>
    <n v="340373.92499999999"/>
    <x v="2"/>
  </r>
  <r>
    <x v="33"/>
    <x v="12"/>
    <n v="197946"/>
    <n v="19942435.5"/>
    <n v="60"/>
    <n v="11935"/>
    <n v="11178"/>
    <n v="332373.92499999999"/>
    <x v="1"/>
  </r>
  <r>
    <x v="34"/>
    <x v="12"/>
    <n v="230896.5"/>
    <n v="23085222"/>
    <n v="60"/>
    <n v="13544"/>
    <n v="12643"/>
    <n v="384753.7"/>
    <x v="1"/>
  </r>
  <r>
    <x v="29"/>
    <x v="13"/>
    <n v="203532"/>
    <n v="20953324.5"/>
    <n v="54"/>
    <n v="13091"/>
    <n v="12216"/>
    <n v="388024.52777777775"/>
    <x v="0"/>
  </r>
  <r>
    <x v="30"/>
    <x v="13"/>
    <n v="214428"/>
    <n v="20812585.5"/>
    <n v="54"/>
    <n v="13014"/>
    <n v="12095"/>
    <n v="385418.25"/>
    <x v="2"/>
  </r>
  <r>
    <x v="27"/>
    <x v="13"/>
    <n v="183228"/>
    <n v="18914194.5"/>
    <n v="54"/>
    <n v="11864"/>
    <n v="11071"/>
    <n v="350262.86111111112"/>
    <x v="5"/>
  </r>
  <r>
    <x v="31"/>
    <x v="13"/>
    <n v="166948.5"/>
    <n v="16971231"/>
    <n v="54"/>
    <n v="10570"/>
    <n v="9926"/>
    <n v="314282.05555555556"/>
    <x v="1"/>
  </r>
  <r>
    <x v="28"/>
    <x v="12"/>
    <n v="232102.5"/>
    <n v="23120443.5"/>
    <n v="59"/>
    <n v="14507"/>
    <n v="13386"/>
    <n v="391871.92372881353"/>
    <x v="0"/>
  </r>
  <r>
    <x v="32"/>
    <x v="13"/>
    <n v="196560"/>
    <n v="19855122"/>
    <n v="54"/>
    <n v="12012"/>
    <n v="11308"/>
    <n v="367687.44444444444"/>
    <x v="2"/>
  </r>
  <r>
    <x v="33"/>
    <x v="13"/>
    <n v="186496.5"/>
    <n v="18640998"/>
    <n v="54"/>
    <n v="11194"/>
    <n v="10554"/>
    <n v="345203.66666666669"/>
    <x v="1"/>
  </r>
  <r>
    <x v="34"/>
    <x v="13"/>
    <n v="219772.5"/>
    <n v="21895294.5"/>
    <n v="54"/>
    <n v="12791"/>
    <n v="11950"/>
    <n v="405468.41666666669"/>
    <x v="1"/>
  </r>
  <r>
    <x v="28"/>
    <x v="13"/>
    <n v="226476"/>
    <n v="22416151.5"/>
    <n v="54"/>
    <n v="14031"/>
    <n v="12943"/>
    <n v="415113.91666666669"/>
    <x v="0"/>
  </r>
  <r>
    <x v="29"/>
    <x v="15"/>
    <n v="8362.5"/>
    <n v="687684"/>
    <n v="7"/>
    <n v="409"/>
    <n v="329"/>
    <n v="98240.571428571435"/>
    <x v="0"/>
  </r>
  <r>
    <x v="30"/>
    <x v="14"/>
    <n v="17008.5"/>
    <n v="1398771"/>
    <n v="18"/>
    <n v="985"/>
    <n v="861"/>
    <n v="77709.5"/>
    <x v="2"/>
  </r>
  <r>
    <x v="27"/>
    <x v="16"/>
    <n v="5166"/>
    <n v="389013"/>
    <n v="9"/>
    <n v="294"/>
    <n v="224"/>
    <n v="43223.666666666664"/>
    <x v="5"/>
  </r>
  <r>
    <x v="31"/>
    <x v="14"/>
    <n v="10941"/>
    <n v="880356"/>
    <n v="15"/>
    <n v="654"/>
    <n v="564"/>
    <n v="58690.400000000001"/>
    <x v="1"/>
  </r>
  <r>
    <x v="32"/>
    <x v="14"/>
    <n v="14497.5"/>
    <n v="1230711"/>
    <n v="16"/>
    <n v="864"/>
    <n v="765"/>
    <n v="76919.4375"/>
    <x v="2"/>
  </r>
  <r>
    <x v="33"/>
    <x v="14"/>
    <n v="13810.5"/>
    <n v="1131676.5"/>
    <n v="16"/>
    <n v="834"/>
    <n v="735"/>
    <n v="70729.78125"/>
    <x v="1"/>
  </r>
  <r>
    <x v="34"/>
    <x v="14"/>
    <n v="13752"/>
    <n v="1091040"/>
    <n v="16"/>
    <n v="817"/>
    <n v="718"/>
    <n v="68190"/>
    <x v="1"/>
  </r>
  <r>
    <x v="29"/>
    <x v="14"/>
    <n v="15276"/>
    <n v="1350199.5"/>
    <n v="18"/>
    <n v="962"/>
    <n v="859"/>
    <n v="75011.083333333328"/>
    <x v="0"/>
  </r>
  <r>
    <x v="27"/>
    <x v="17"/>
    <n v="4408.5"/>
    <n v="410892"/>
    <n v="6"/>
    <n v="237"/>
    <n v="175"/>
    <n v="68482"/>
    <x v="5"/>
  </r>
  <r>
    <x v="28"/>
    <x v="15"/>
    <n v="9927"/>
    <n v="850840.5"/>
    <n v="7"/>
    <n v="491"/>
    <n v="411"/>
    <n v="121548.64285714286"/>
    <x v="0"/>
  </r>
  <r>
    <x v="27"/>
    <x v="15"/>
    <n v="9474"/>
    <n v="802447.5"/>
    <n v="7"/>
    <n v="500"/>
    <n v="418"/>
    <n v="114635.35714285714"/>
    <x v="5"/>
  </r>
  <r>
    <x v="28"/>
    <x v="14"/>
    <n v="16878"/>
    <n v="1438255.5"/>
    <n v="18"/>
    <n v="1014"/>
    <n v="893"/>
    <n v="79903.083333333328"/>
    <x v="0"/>
  </r>
  <r>
    <x v="27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08672-8428-4C0A-BC0C-4990856BDDA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8:E32" firstHeaderRow="1" firstDataRow="1" firstDataCol="1" rowPageCount="1" colPageCount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 item="5" hier="-1"/>
  </pageFields>
  <dataFields count="1">
    <dataField name="Sum of Товарооборот на склад" fld="7" baseField="0" baseItem="0" numFmtId="2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C8F9-CFA1-4551-BF8F-712B5DACABD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2" firstHeaderRow="1" firstDataRow="1" firstDataCol="1" rowPageCount="1" colPageCount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measureFilter="1" sortType="descending">
      <items count="19">
        <item x="17"/>
        <item x="15"/>
        <item x="16"/>
        <item x="3"/>
        <item x="5"/>
        <item x="6"/>
        <item x="0"/>
        <item x="10"/>
        <item x="9"/>
        <item x="14"/>
        <item x="4"/>
        <item x="12"/>
        <item x="13"/>
        <item x="11"/>
        <item x="1"/>
        <item x="8"/>
        <item x="2"/>
        <item x="7"/>
        <item t="default"/>
      </items>
    </pivotField>
    <pivotField showAll="0"/>
    <pivotField dataField="1" showAll="0"/>
    <pivotField showAll="0"/>
    <pivotField showAll="0"/>
    <pivotField showAll="0"/>
    <pivotField numFmtId="2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 v="4"/>
    </i>
    <i>
      <x v="5"/>
    </i>
    <i>
      <x v="11"/>
    </i>
    <i t="grand">
      <x/>
    </i>
  </rowItems>
  <colItems count="1">
    <i/>
  </colItems>
  <pageFields count="1">
    <pageField fld="8" item="5" hier="-1"/>
  </pageFields>
  <dataFields count="1">
    <dataField name="Sum of Товарооборот, руб" fld="3" baseField="0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0464E-1A1E-409C-897C-83385828FC6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23" firstHeaderRow="1" firstDataRow="2" firstDataCol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numFmtId="2" showAll="0"/>
    <pivotField axis="axisCol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Товарооборот, руб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94369-E82B-4E40-ABC1-3382C07F4B50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10" firstHeaderRow="0" firstDataRow="1" firstDataCol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numFmtId="2" showAll="0"/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3" baseField="0" baseItem="0"/>
    <dataField name="Sum of Товарооборот на склад" fld="7" baseField="0" baseItem="0" numFmtId="2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7F59-F0AA-4C52-B78A-336A42E2CB38}">
  <dimension ref="A3:H32"/>
  <sheetViews>
    <sheetView workbookViewId="0">
      <selection activeCell="A3" sqref="A3:H23"/>
    </sheetView>
  </sheetViews>
  <sheetFormatPr defaultRowHeight="14.4" x14ac:dyDescent="0.3"/>
  <cols>
    <col min="1" max="1" width="24.6640625" bestFit="1" customWidth="1"/>
    <col min="2" max="2" width="15.5546875" bestFit="1" customWidth="1"/>
    <col min="3" max="8" width="12" bestFit="1" customWidth="1"/>
  </cols>
  <sheetData>
    <row r="3" spans="1:8" x14ac:dyDescent="0.3">
      <c r="A3" s="14" t="s">
        <v>29</v>
      </c>
      <c r="B3" s="14" t="s">
        <v>30</v>
      </c>
    </row>
    <row r="4" spans="1:8" x14ac:dyDescent="0.3">
      <c r="A4" s="14" t="s">
        <v>27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t="s">
        <v>28</v>
      </c>
    </row>
    <row r="5" spans="1:8" x14ac:dyDescent="0.3">
      <c r="A5" s="15" t="s">
        <v>16</v>
      </c>
      <c r="B5" s="16">
        <v>36934095</v>
      </c>
      <c r="C5" s="16">
        <v>43307155.5</v>
      </c>
      <c r="D5" s="16">
        <v>41300679</v>
      </c>
      <c r="E5" s="16">
        <v>44172813</v>
      </c>
      <c r="F5" s="16">
        <v>46485094.5</v>
      </c>
      <c r="G5" s="16">
        <v>5800290</v>
      </c>
      <c r="H5" s="16">
        <v>218000127</v>
      </c>
    </row>
    <row r="6" spans="1:8" x14ac:dyDescent="0.3">
      <c r="A6" s="15" t="s">
        <v>11</v>
      </c>
      <c r="B6" s="16">
        <v>42828757.5</v>
      </c>
      <c r="C6" s="16">
        <v>46366009.5</v>
      </c>
      <c r="D6" s="16">
        <v>47079841.5</v>
      </c>
      <c r="E6" s="16">
        <v>49575288</v>
      </c>
      <c r="F6" s="16">
        <v>50729185.5</v>
      </c>
      <c r="G6" s="16">
        <v>6829921.5</v>
      </c>
      <c r="H6" s="16">
        <v>243409003.5</v>
      </c>
    </row>
    <row r="7" spans="1:8" x14ac:dyDescent="0.3">
      <c r="A7" s="15" t="s">
        <v>17</v>
      </c>
      <c r="B7" s="16">
        <v>17828215.5</v>
      </c>
      <c r="C7" s="16">
        <v>20974521</v>
      </c>
      <c r="D7" s="16">
        <v>23603355</v>
      </c>
      <c r="E7" s="16">
        <v>26815804.5</v>
      </c>
      <c r="F7" s="16">
        <v>27495690</v>
      </c>
      <c r="G7" s="16">
        <v>3865251</v>
      </c>
      <c r="H7" s="16">
        <v>120582837</v>
      </c>
    </row>
    <row r="8" spans="1:8" x14ac:dyDescent="0.3">
      <c r="A8" s="15" t="s">
        <v>10</v>
      </c>
      <c r="B8" s="16">
        <v>16029679.5</v>
      </c>
      <c r="C8" s="16">
        <v>19479055.5</v>
      </c>
      <c r="D8" s="16">
        <v>19724733</v>
      </c>
      <c r="E8" s="16">
        <v>20915751</v>
      </c>
      <c r="F8" s="16">
        <v>22579281</v>
      </c>
      <c r="G8" s="16">
        <v>2945035.5</v>
      </c>
      <c r="H8" s="16">
        <v>101673535.5</v>
      </c>
    </row>
    <row r="9" spans="1:8" x14ac:dyDescent="0.3">
      <c r="A9" s="15" t="s">
        <v>20</v>
      </c>
      <c r="B9" s="16">
        <v>13955985</v>
      </c>
      <c r="C9" s="16">
        <v>16391856</v>
      </c>
      <c r="D9" s="16">
        <v>16732521</v>
      </c>
      <c r="E9" s="16">
        <v>17647479</v>
      </c>
      <c r="F9" s="16">
        <v>18595773</v>
      </c>
      <c r="G9" s="16">
        <v>2538967.5</v>
      </c>
      <c r="H9" s="16">
        <v>85862581.5</v>
      </c>
    </row>
    <row r="10" spans="1:8" x14ac:dyDescent="0.3">
      <c r="A10" s="15" t="s">
        <v>22</v>
      </c>
      <c r="B10" s="16">
        <v>130713645</v>
      </c>
      <c r="C10" s="16">
        <v>151642039.5</v>
      </c>
      <c r="D10" s="16">
        <v>135813990</v>
      </c>
      <c r="E10" s="16">
        <v>149589546</v>
      </c>
      <c r="F10" s="16">
        <v>151451013</v>
      </c>
      <c r="G10" s="16">
        <v>18914194.5</v>
      </c>
      <c r="H10" s="16">
        <v>738124428</v>
      </c>
    </row>
    <row r="11" spans="1:8" x14ac:dyDescent="0.3">
      <c r="A11" s="15" t="s">
        <v>21</v>
      </c>
      <c r="B11" s="16">
        <v>136791225</v>
      </c>
      <c r="C11" s="16">
        <v>159695760</v>
      </c>
      <c r="D11" s="16">
        <v>142825023</v>
      </c>
      <c r="E11" s="16">
        <v>157512358.5</v>
      </c>
      <c r="F11" s="16">
        <v>157857214.5</v>
      </c>
      <c r="G11" s="16">
        <v>19465372.5</v>
      </c>
      <c r="H11" s="16">
        <v>774146953.5</v>
      </c>
    </row>
    <row r="12" spans="1:8" x14ac:dyDescent="0.3">
      <c r="A12" s="15" t="s">
        <v>13</v>
      </c>
      <c r="B12" s="16">
        <v>13145965.5</v>
      </c>
      <c r="C12" s="16">
        <v>17149980</v>
      </c>
      <c r="D12" s="16">
        <v>19963153.5</v>
      </c>
      <c r="E12" s="16">
        <v>20713983</v>
      </c>
      <c r="F12" s="16">
        <v>21605704.5</v>
      </c>
      <c r="G12" s="16">
        <v>3013512</v>
      </c>
      <c r="H12" s="16">
        <v>95592298.5</v>
      </c>
    </row>
    <row r="13" spans="1:8" x14ac:dyDescent="0.3">
      <c r="A13" s="15" t="s">
        <v>23</v>
      </c>
      <c r="B13" s="16">
        <v>5746024.5</v>
      </c>
      <c r="C13" s="16">
        <v>7253572.5</v>
      </c>
      <c r="D13" s="16">
        <v>7841920.5</v>
      </c>
      <c r="E13" s="16">
        <v>8990269.5</v>
      </c>
      <c r="F13" s="16">
        <v>9909624</v>
      </c>
      <c r="G13" s="16">
        <v>1293219</v>
      </c>
      <c r="H13" s="16">
        <v>41034630</v>
      </c>
    </row>
    <row r="14" spans="1:8" x14ac:dyDescent="0.3">
      <c r="A14" s="15" t="s">
        <v>18</v>
      </c>
      <c r="B14" s="16">
        <v>6961020</v>
      </c>
      <c r="C14" s="16">
        <v>8778597</v>
      </c>
      <c r="D14" s="16">
        <v>9036316.5</v>
      </c>
      <c r="E14" s="16">
        <v>10598445</v>
      </c>
      <c r="F14" s="16">
        <v>11902053</v>
      </c>
      <c r="G14" s="16">
        <v>1526608.5</v>
      </c>
      <c r="H14" s="16">
        <v>48803040</v>
      </c>
    </row>
    <row r="15" spans="1:8" x14ac:dyDescent="0.3">
      <c r="A15" s="15" t="s">
        <v>19</v>
      </c>
      <c r="B15" s="16">
        <v>2008809</v>
      </c>
      <c r="C15" s="16">
        <v>5892277.5</v>
      </c>
      <c r="D15" s="16">
        <v>7382458.5</v>
      </c>
      <c r="E15" s="16">
        <v>8638525.5</v>
      </c>
      <c r="F15" s="16">
        <v>9328845</v>
      </c>
      <c r="G15" s="16">
        <v>1565632.5</v>
      </c>
      <c r="H15" s="16">
        <v>34816548</v>
      </c>
    </row>
    <row r="16" spans="1:8" x14ac:dyDescent="0.3">
      <c r="A16" s="15" t="s">
        <v>9</v>
      </c>
      <c r="B16" s="16"/>
      <c r="C16" s="16"/>
      <c r="D16" s="16"/>
      <c r="E16" s="16"/>
      <c r="F16" s="16">
        <v>2706253.5</v>
      </c>
      <c r="G16" s="16">
        <v>636345</v>
      </c>
      <c r="H16" s="16">
        <v>3342598.5</v>
      </c>
    </row>
    <row r="17" spans="1:8" x14ac:dyDescent="0.3">
      <c r="A17" s="15" t="s">
        <v>15</v>
      </c>
      <c r="B17" s="16">
        <v>233059077</v>
      </c>
      <c r="C17" s="16">
        <v>272762503.5</v>
      </c>
      <c r="D17" s="16">
        <v>269949999</v>
      </c>
      <c r="E17" s="16">
        <v>275539431.56999999</v>
      </c>
      <c r="F17" s="16">
        <v>292155049.5</v>
      </c>
      <c r="G17" s="16">
        <v>37257840.18135</v>
      </c>
      <c r="H17" s="16">
        <v>1380723900.7513499</v>
      </c>
    </row>
    <row r="18" spans="1:8" x14ac:dyDescent="0.3">
      <c r="A18" s="15" t="s">
        <v>14</v>
      </c>
      <c r="B18" s="16">
        <v>176269533</v>
      </c>
      <c r="C18" s="16">
        <v>208128393.85664999</v>
      </c>
      <c r="D18" s="16">
        <v>199569624.22395</v>
      </c>
      <c r="E18" s="16">
        <v>204608809.47659999</v>
      </c>
      <c r="F18" s="16">
        <v>219265928.75384998</v>
      </c>
      <c r="G18" s="16">
        <v>27770092.5</v>
      </c>
      <c r="H18" s="16">
        <v>1035612381.8110499</v>
      </c>
    </row>
    <row r="19" spans="1:8" x14ac:dyDescent="0.3">
      <c r="A19" s="15" t="s">
        <v>12</v>
      </c>
      <c r="B19" s="16">
        <v>4531000.5</v>
      </c>
      <c r="C19" s="16">
        <v>6093688.5</v>
      </c>
      <c r="D19" s="16">
        <v>6439392</v>
      </c>
      <c r="E19" s="16">
        <v>7373379</v>
      </c>
      <c r="F19" s="16">
        <v>7762362</v>
      </c>
      <c r="G19" s="16">
        <v>1007742</v>
      </c>
      <c r="H19" s="16">
        <v>33207564</v>
      </c>
    </row>
    <row r="20" spans="1:8" x14ac:dyDescent="0.3">
      <c r="A20" s="15" t="s">
        <v>25</v>
      </c>
      <c r="B20" s="16"/>
      <c r="C20" s="16"/>
      <c r="D20" s="16"/>
      <c r="E20" s="16"/>
      <c r="F20" s="16">
        <v>493893</v>
      </c>
      <c r="G20" s="16">
        <v>389013</v>
      </c>
      <c r="H20" s="16">
        <v>882906</v>
      </c>
    </row>
    <row r="21" spans="1:8" x14ac:dyDescent="0.3">
      <c r="A21" s="15" t="s">
        <v>24</v>
      </c>
      <c r="B21" s="16"/>
      <c r="C21" s="16"/>
      <c r="D21" s="16"/>
      <c r="E21" s="16"/>
      <c r="F21" s="16">
        <v>4861708.5</v>
      </c>
      <c r="G21" s="16">
        <v>802447.5</v>
      </c>
      <c r="H21" s="16">
        <v>5664156</v>
      </c>
    </row>
    <row r="22" spans="1:8" x14ac:dyDescent="0.3">
      <c r="A22" s="15" t="s">
        <v>26</v>
      </c>
      <c r="B22" s="16"/>
      <c r="C22" s="16"/>
      <c r="D22" s="16"/>
      <c r="E22" s="16"/>
      <c r="F22" s="16">
        <v>468835.5</v>
      </c>
      <c r="G22" s="16">
        <v>410892</v>
      </c>
      <c r="H22" s="16">
        <v>879727.5</v>
      </c>
    </row>
    <row r="23" spans="1:8" x14ac:dyDescent="0.3">
      <c r="A23" s="15" t="s">
        <v>28</v>
      </c>
      <c r="B23" s="16">
        <v>836803032</v>
      </c>
      <c r="C23" s="16">
        <v>983915409.85664999</v>
      </c>
      <c r="D23" s="16">
        <v>947263006.72395003</v>
      </c>
      <c r="E23" s="16">
        <v>1002691883.0465999</v>
      </c>
      <c r="F23" s="16">
        <v>1055653508.75385</v>
      </c>
      <c r="G23" s="16">
        <v>136032376.68134999</v>
      </c>
      <c r="H23" s="16">
        <v>4962359217.0623999</v>
      </c>
    </row>
    <row r="26" spans="1:8" x14ac:dyDescent="0.3">
      <c r="A26" s="14" t="s">
        <v>8</v>
      </c>
      <c r="B26" s="15">
        <v>23</v>
      </c>
      <c r="D26" s="14" t="s">
        <v>8</v>
      </c>
      <c r="E26" s="15">
        <v>23</v>
      </c>
    </row>
    <row r="28" spans="1:8" x14ac:dyDescent="0.3">
      <c r="A28" s="14" t="s">
        <v>27</v>
      </c>
      <c r="B28" t="s">
        <v>29</v>
      </c>
      <c r="D28" s="14" t="s">
        <v>27</v>
      </c>
      <c r="E28" t="s">
        <v>31</v>
      </c>
    </row>
    <row r="29" spans="1:8" x14ac:dyDescent="0.3">
      <c r="A29" s="15" t="s">
        <v>14</v>
      </c>
      <c r="B29" s="13">
        <v>27770092.5</v>
      </c>
      <c r="D29" s="15" t="s">
        <v>22</v>
      </c>
      <c r="E29" s="13">
        <v>350262.86111111112</v>
      </c>
    </row>
    <row r="30" spans="1:8" x14ac:dyDescent="0.3">
      <c r="A30" s="15" t="s">
        <v>15</v>
      </c>
      <c r="B30" s="13">
        <v>37257840.18135</v>
      </c>
      <c r="D30" s="15" t="s">
        <v>21</v>
      </c>
      <c r="E30" s="13">
        <v>329921.56779661018</v>
      </c>
    </row>
    <row r="31" spans="1:8" x14ac:dyDescent="0.3">
      <c r="A31" s="15" t="s">
        <v>21</v>
      </c>
      <c r="B31" s="13">
        <v>19465372.5</v>
      </c>
      <c r="D31" s="15" t="s">
        <v>15</v>
      </c>
      <c r="E31" s="13">
        <v>302909.26976707316</v>
      </c>
    </row>
    <row r="32" spans="1:8" x14ac:dyDescent="0.3">
      <c r="A32" s="15" t="s">
        <v>28</v>
      </c>
      <c r="B32" s="13">
        <v>84493305.181349993</v>
      </c>
      <c r="D32" s="15" t="s">
        <v>28</v>
      </c>
      <c r="E32" s="13">
        <v>983093.69867479452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3911-A504-4674-A953-60017D3473C6}">
  <dimension ref="A3:C10"/>
  <sheetViews>
    <sheetView tabSelected="1" topLeftCell="A10" workbookViewId="0">
      <selection activeCell="F34" sqref="F34"/>
    </sheetView>
  </sheetViews>
  <sheetFormatPr defaultRowHeight="14.4" x14ac:dyDescent="0.3"/>
  <cols>
    <col min="1" max="1" width="12.5546875" bestFit="1" customWidth="1"/>
    <col min="2" max="2" width="24.6640625" bestFit="1" customWidth="1"/>
    <col min="3" max="12" width="28.5546875" bestFit="1" customWidth="1"/>
    <col min="13" max="13" width="29.5546875" bestFit="1" customWidth="1"/>
    <col min="14" max="15" width="33.33203125" bestFit="1" customWidth="1"/>
  </cols>
  <sheetData>
    <row r="3" spans="1:3" x14ac:dyDescent="0.3">
      <c r="A3" s="14" t="s">
        <v>27</v>
      </c>
      <c r="B3" t="s">
        <v>29</v>
      </c>
      <c r="C3" t="s">
        <v>31</v>
      </c>
    </row>
    <row r="4" spans="1:3" x14ac:dyDescent="0.3">
      <c r="A4" s="15">
        <v>18</v>
      </c>
      <c r="B4" s="16">
        <v>836803032</v>
      </c>
      <c r="C4" s="13">
        <v>15050189.484421248</v>
      </c>
    </row>
    <row r="5" spans="1:3" x14ac:dyDescent="0.3">
      <c r="A5" s="15">
        <v>19</v>
      </c>
      <c r="B5" s="16">
        <v>983915409.85664999</v>
      </c>
      <c r="C5" s="13">
        <v>17810866.503784601</v>
      </c>
    </row>
    <row r="6" spans="1:3" x14ac:dyDescent="0.3">
      <c r="A6" s="15">
        <v>20</v>
      </c>
      <c r="B6" s="16">
        <v>947263006.72395003</v>
      </c>
      <c r="C6" s="13">
        <v>17504431.254499577</v>
      </c>
    </row>
    <row r="7" spans="1:3" x14ac:dyDescent="0.3">
      <c r="A7" s="15">
        <v>21</v>
      </c>
      <c r="B7" s="16">
        <v>1002691883.0466</v>
      </c>
      <c r="C7" s="13">
        <v>18752594.736982953</v>
      </c>
    </row>
    <row r="8" spans="1:3" x14ac:dyDescent="0.3">
      <c r="A8" s="15">
        <v>22</v>
      </c>
      <c r="B8" s="16">
        <v>1055653508.75385</v>
      </c>
      <c r="C8" s="13">
        <v>20458986.916362662</v>
      </c>
    </row>
    <row r="9" spans="1:3" x14ac:dyDescent="0.3">
      <c r="A9" s="15">
        <v>23</v>
      </c>
      <c r="B9" s="16">
        <v>136032376.68134999</v>
      </c>
      <c r="C9" s="13">
        <v>2786041.4356766073</v>
      </c>
    </row>
    <row r="10" spans="1:3" x14ac:dyDescent="0.3">
      <c r="A10" s="15" t="s">
        <v>28</v>
      </c>
      <c r="B10" s="16">
        <v>4962359217.0623999</v>
      </c>
      <c r="C10" s="13">
        <v>92363110.331727639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C9"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>
        <f>SUMIFS(Лист2!$C:$C,Лист2!$A:$A,Лист1!$A2,Лист2!$B:$B,Лист1!$B2)</f>
        <v>15</v>
      </c>
      <c r="F2" s="7">
        <f>SUMIFS(Лист2!$D:$D,Лист2!$A:$A,Лист1!$A2,Лист2!$B:$B,Лист1!$B2)</f>
        <v>441</v>
      </c>
      <c r="G2" s="7">
        <f>SUMIFS(Лист2!$E:$E,Лист2!$A:$A,Лист1!$A2,Лист2!$B:$B,Лист1!$B2)</f>
        <v>368</v>
      </c>
      <c r="H2" s="13">
        <f>D2/E2</f>
        <v>41598.1</v>
      </c>
      <c r="I2">
        <f>WEEKNUM(A2,2)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>
        <f>SUMIFS(Лист2!$C:$C,Лист2!$A:$A,Лист1!$A3,Лист2!$B:$B,Лист1!$B3)</f>
        <v>15</v>
      </c>
      <c r="F3" s="7">
        <f>SUMIFS(Лист2!$D:$D,Лист2!$A:$A,Лист1!$A3,Лист2!$B:$B,Лист1!$B3)</f>
        <v>490</v>
      </c>
      <c r="G3" s="7">
        <f>SUMIFS(Лист2!$E:$E,Лист2!$A:$A,Лист1!$A3,Лист2!$B:$B,Лист1!$B3)</f>
        <v>409</v>
      </c>
      <c r="H3" s="13">
        <f t="shared" ref="H3:H66" si="0">D3/E3</f>
        <v>52473.4</v>
      </c>
      <c r="I3">
        <f t="shared" ref="I3:I66" si="1">WEEKNUM(A3,2)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>
        <f>SUMIFS(Лист2!$C:$C,Лист2!$A:$A,Лист1!$A4,Лист2!$B:$B,Лист1!$B4)</f>
        <v>15</v>
      </c>
      <c r="F4" s="7">
        <f>SUMIFS(Лист2!$D:$D,Лист2!$A:$A,Лист1!$A4,Лист2!$B:$B,Лист1!$B4)</f>
        <v>464</v>
      </c>
      <c r="G4" s="7">
        <f>SUMIFS(Лист2!$E:$E,Лист2!$A:$A,Лист1!$A4,Лист2!$B:$B,Лист1!$B4)</f>
        <v>390</v>
      </c>
      <c r="H4" s="13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SUMIFS(Лист2!$C:$C,Лист2!$A:$A,Лист1!$A5,Лист2!$B:$B,Лист1!$B5)</f>
        <v>21</v>
      </c>
      <c r="F5" s="7">
        <f>SUMIFS(Лист2!$D:$D,Лист2!$A:$A,Лист1!$A5,Лист2!$B:$B,Лист1!$B5)</f>
        <v>2145</v>
      </c>
      <c r="G5" s="7">
        <f>SUMIFS(Лист2!$E:$E,Лист2!$A:$A,Лист1!$A5,Лист2!$B:$B,Лист1!$B5)</f>
        <v>1947</v>
      </c>
      <c r="H5" s="13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SUMIFS(Лист2!$C:$C,Лист2!$A:$A,Лист1!$A6,Лист2!$B:$B,Лист1!$B6)</f>
        <v>21</v>
      </c>
      <c r="F6" s="7">
        <f>SUMIFS(Лист2!$D:$D,Лист2!$A:$A,Лист1!$A6,Лист2!$B:$B,Лист1!$B6)</f>
        <v>1860</v>
      </c>
      <c r="G6" s="7">
        <f>SUMIFS(Лист2!$E:$E,Лист2!$A:$A,Лист1!$A6,Лист2!$B:$B,Лист1!$B6)</f>
        <v>1704</v>
      </c>
      <c r="H6" s="13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SUMIFS(Лист2!$C:$C,Лист2!$A:$A,Лист1!$A7,Лист2!$B:$B,Лист1!$B7)</f>
        <v>21</v>
      </c>
      <c r="F7" s="7">
        <f>SUMIFS(Лист2!$D:$D,Лист2!$A:$A,Лист1!$A7,Лист2!$B:$B,Лист1!$B7)</f>
        <v>1874</v>
      </c>
      <c r="G7" s="7">
        <f>SUMIFS(Лист2!$E:$E,Лист2!$A:$A,Лист1!$A7,Лист2!$B:$B,Лист1!$B7)</f>
        <v>1705</v>
      </c>
      <c r="H7" s="13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SUMIFS(Лист2!$C:$C,Лист2!$A:$A,Лист1!$A8,Лист2!$B:$B,Лист1!$B8)</f>
        <v>21</v>
      </c>
      <c r="F8" s="7">
        <f>SUMIFS(Лист2!$D:$D,Лист2!$A:$A,Лист1!$A8,Лист2!$B:$B,Лист1!$B8)</f>
        <v>1735</v>
      </c>
      <c r="G8" s="7">
        <f>SUMIFS(Лист2!$E:$E,Лист2!$A:$A,Лист1!$A8,Лист2!$B:$B,Лист1!$B8)</f>
        <v>1568</v>
      </c>
      <c r="H8" s="13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>
        <f>SUMIFS(Лист2!$C:$C,Лист2!$A:$A,Лист1!$A9,Лист2!$B:$B,Лист1!$B9)</f>
        <v>20</v>
      </c>
      <c r="F9" s="7">
        <f>SUMIFS(Лист2!$D:$D,Лист2!$A:$A,Лист1!$A9,Лист2!$B:$B,Лист1!$B9)</f>
        <v>1519</v>
      </c>
      <c r="G9" s="7">
        <f>SUMIFS(Лист2!$E:$E,Лист2!$A:$A,Лист1!$A9,Лист2!$B:$B,Лист1!$B9)</f>
        <v>1372</v>
      </c>
      <c r="H9" s="13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SUMIFS(Лист2!$C:$C,Лист2!$A:$A,Лист1!$A10,Лист2!$B:$B,Лист1!$B10)</f>
        <v>18</v>
      </c>
      <c r="F10" s="7">
        <f>SUMIFS(Лист2!$D:$D,Лист2!$A:$A,Лист1!$A10,Лист2!$B:$B,Лист1!$B10)</f>
        <v>1684</v>
      </c>
      <c r="G10" s="7">
        <f>SUMIFS(Лист2!$E:$E,Лист2!$A:$A,Лист1!$A10,Лист2!$B:$B,Лист1!$B10)</f>
        <v>1528</v>
      </c>
      <c r="H10" s="13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SUMIFS(Лист2!$C:$C,Лист2!$A:$A,Лист1!$A11,Лист2!$B:$B,Лист1!$B11)</f>
        <v>18</v>
      </c>
      <c r="F11" s="7">
        <f>SUMIFS(Лист2!$D:$D,Лист2!$A:$A,Лист1!$A11,Лист2!$B:$B,Лист1!$B11)</f>
        <v>1708</v>
      </c>
      <c r="G11" s="7">
        <f>SUMIFS(Лист2!$E:$E,Лист2!$A:$A,Лист1!$A11,Лист2!$B:$B,Лист1!$B11)</f>
        <v>1534</v>
      </c>
      <c r="H11" s="13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SUMIFS(Лист2!$C:$C,Лист2!$A:$A,Лист1!$A12,Лист2!$B:$B,Лист1!$B12)</f>
        <v>20</v>
      </c>
      <c r="F12" s="7">
        <f>SUMIFS(Лист2!$D:$D,Лист2!$A:$A,Лист1!$A12,Лист2!$B:$B,Лист1!$B12)</f>
        <v>2044</v>
      </c>
      <c r="G12" s="7">
        <f>SUMIFS(Лист2!$E:$E,Лист2!$A:$A,Лист1!$A12,Лист2!$B:$B,Лист1!$B12)</f>
        <v>1863</v>
      </c>
      <c r="H12" s="13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SUMIFS(Лист2!$C:$C,Лист2!$A:$A,Лист1!$A13,Лист2!$B:$B,Лист1!$B13)</f>
        <v>18</v>
      </c>
      <c r="F13" s="7">
        <f>SUMIFS(Лист2!$D:$D,Лист2!$A:$A,Лист1!$A13,Лист2!$B:$B,Лист1!$B13)</f>
        <v>1826</v>
      </c>
      <c r="G13" s="7">
        <f>SUMIFS(Лист2!$E:$E,Лист2!$A:$A,Лист1!$A13,Лист2!$B:$B,Лист1!$B13)</f>
        <v>1633</v>
      </c>
      <c r="H13" s="13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SUMIFS(Лист2!$C:$C,Лист2!$A:$A,Лист1!$A14,Лист2!$B:$B,Лист1!$B14)</f>
        <v>21</v>
      </c>
      <c r="F14" s="7">
        <f>SUMIFS(Лист2!$D:$D,Лист2!$A:$A,Лист1!$A14,Лист2!$B:$B,Лист1!$B14)</f>
        <v>1656</v>
      </c>
      <c r="G14" s="7">
        <f>SUMIFS(Лист2!$E:$E,Лист2!$A:$A,Лист1!$A14,Лист2!$B:$B,Лист1!$B14)</f>
        <v>1516</v>
      </c>
      <c r="H14" s="13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SUMIFS(Лист2!$C:$C,Лист2!$A:$A,Лист1!$A15,Лист2!$B:$B,Лист1!$B15)</f>
        <v>21</v>
      </c>
      <c r="F15" s="7">
        <f>SUMIFS(Лист2!$D:$D,Лист2!$A:$A,Лист1!$A15,Лист2!$B:$B,Лист1!$B15)</f>
        <v>1787</v>
      </c>
      <c r="G15" s="7">
        <f>SUMIFS(Лист2!$E:$E,Лист2!$A:$A,Лист1!$A15,Лист2!$B:$B,Лист1!$B15)</f>
        <v>1626</v>
      </c>
      <c r="H15" s="13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SUMIFS(Лист2!$C:$C,Лист2!$A:$A,Лист1!$A16,Лист2!$B:$B,Лист1!$B16)</f>
        <v>21</v>
      </c>
      <c r="F16" s="7">
        <f>SUMIFS(Лист2!$D:$D,Лист2!$A:$A,Лист1!$A16,Лист2!$B:$B,Лист1!$B16)</f>
        <v>1921</v>
      </c>
      <c r="G16" s="7">
        <f>SUMIFS(Лист2!$E:$E,Лист2!$A:$A,Лист1!$A16,Лист2!$B:$B,Лист1!$B16)</f>
        <v>1767</v>
      </c>
      <c r="H16" s="13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SUMIFS(Лист2!$C:$C,Лист2!$A:$A,Лист1!$A17,Лист2!$B:$B,Лист1!$B17)</f>
        <v>20</v>
      </c>
      <c r="F17" s="7">
        <f>SUMIFS(Лист2!$D:$D,Лист2!$A:$A,Лист1!$A17,Лист2!$B:$B,Лист1!$B17)</f>
        <v>1773</v>
      </c>
      <c r="G17" s="7">
        <f>SUMIFS(Лист2!$E:$E,Лист2!$A:$A,Лист1!$A17,Лист2!$B:$B,Лист1!$B17)</f>
        <v>1604</v>
      </c>
      <c r="H17" s="13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SUMIFS(Лист2!$C:$C,Лист2!$A:$A,Лист1!$A18,Лист2!$B:$B,Лист1!$B18)</f>
        <v>18</v>
      </c>
      <c r="F18" s="7">
        <f>SUMIFS(Лист2!$D:$D,Лист2!$A:$A,Лист1!$A18,Лист2!$B:$B,Лист1!$B18)</f>
        <v>1539</v>
      </c>
      <c r="G18" s="7">
        <f>SUMIFS(Лист2!$E:$E,Лист2!$A:$A,Лист1!$A18,Лист2!$B:$B,Лист1!$B18)</f>
        <v>1404</v>
      </c>
      <c r="H18" s="13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SUMIFS(Лист2!$C:$C,Лист2!$A:$A,Лист1!$A19,Лист2!$B:$B,Лист1!$B19)</f>
        <v>21</v>
      </c>
      <c r="F19" s="7">
        <f>SUMIFS(Лист2!$D:$D,Лист2!$A:$A,Лист1!$A19,Лист2!$B:$B,Лист1!$B19)</f>
        <v>1698</v>
      </c>
      <c r="G19" s="7">
        <f>SUMIFS(Лист2!$E:$E,Лист2!$A:$A,Лист1!$A19,Лист2!$B:$B,Лист1!$B19)</f>
        <v>1554</v>
      </c>
      <c r="H19" s="13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SUMIFS(Лист2!$C:$C,Лист2!$A:$A,Лист1!$A20,Лист2!$B:$B,Лист1!$B20)</f>
        <v>20</v>
      </c>
      <c r="F20" s="7">
        <f>SUMIFS(Лист2!$D:$D,Лист2!$A:$A,Лист1!$A20,Лист2!$B:$B,Лист1!$B20)</f>
        <v>1520</v>
      </c>
      <c r="G20" s="7">
        <f>SUMIFS(Лист2!$E:$E,Лист2!$A:$A,Лист1!$A20,Лист2!$B:$B,Лист1!$B20)</f>
        <v>1373</v>
      </c>
      <c r="H20" s="13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SUMIFS(Лист2!$C:$C,Лист2!$A:$A,Лист1!$A21,Лист2!$B:$B,Лист1!$B21)</f>
        <v>20</v>
      </c>
      <c r="F21" s="7">
        <f>SUMIFS(Лист2!$D:$D,Лист2!$A:$A,Лист1!$A21,Лист2!$B:$B,Лист1!$B21)</f>
        <v>1784</v>
      </c>
      <c r="G21" s="7">
        <f>SUMIFS(Лист2!$E:$E,Лист2!$A:$A,Лист1!$A21,Лист2!$B:$B,Лист1!$B21)</f>
        <v>1632</v>
      </c>
      <c r="H21" s="13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SUMIFS(Лист2!$C:$C,Лист2!$A:$A,Лист1!$A22,Лист2!$B:$B,Лист1!$B22)</f>
        <v>21</v>
      </c>
      <c r="F22" s="7">
        <f>SUMIFS(Лист2!$D:$D,Лист2!$A:$A,Лист1!$A22,Лист2!$B:$B,Лист1!$B22)</f>
        <v>2340</v>
      </c>
      <c r="G22" s="7">
        <f>SUMIFS(Лист2!$E:$E,Лист2!$A:$A,Лист1!$A22,Лист2!$B:$B,Лист1!$B22)</f>
        <v>2146</v>
      </c>
      <c r="H22" s="13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SUMIFS(Лист2!$C:$C,Лист2!$A:$A,Лист1!$A23,Лист2!$B:$B,Лист1!$B23)</f>
        <v>20</v>
      </c>
      <c r="F23" s="7">
        <f>SUMIFS(Лист2!$D:$D,Лист2!$A:$A,Лист1!$A23,Лист2!$B:$B,Лист1!$B23)</f>
        <v>2087</v>
      </c>
      <c r="G23" s="7">
        <f>SUMIFS(Лист2!$E:$E,Лист2!$A:$A,Лист1!$A23,Лист2!$B:$B,Лист1!$B23)</f>
        <v>1914</v>
      </c>
      <c r="H23" s="13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SUMIFS(Лист2!$C:$C,Лист2!$A:$A,Лист1!$A24,Лист2!$B:$B,Лист1!$B24)</f>
        <v>19</v>
      </c>
      <c r="F24" s="7">
        <f>SUMIFS(Лист2!$D:$D,Лист2!$A:$A,Лист1!$A24,Лист2!$B:$B,Лист1!$B24)</f>
        <v>1712</v>
      </c>
      <c r="G24" s="7">
        <f>SUMIFS(Лист2!$E:$E,Лист2!$A:$A,Лист1!$A24,Лист2!$B:$B,Лист1!$B24)</f>
        <v>1552</v>
      </c>
      <c r="H24" s="13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SUMIFS(Лист2!$C:$C,Лист2!$A:$A,Лист1!$A25,Лист2!$B:$B,Лист1!$B25)</f>
        <v>21</v>
      </c>
      <c r="F25" s="7">
        <f>SUMIFS(Лист2!$D:$D,Лист2!$A:$A,Лист1!$A25,Лист2!$B:$B,Лист1!$B25)</f>
        <v>2016</v>
      </c>
      <c r="G25" s="7">
        <f>SUMIFS(Лист2!$E:$E,Лист2!$A:$A,Лист1!$A25,Лист2!$B:$B,Лист1!$B25)</f>
        <v>1846</v>
      </c>
      <c r="H25" s="13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SUMIFS(Лист2!$C:$C,Лист2!$A:$A,Лист1!$A26,Лист2!$B:$B,Лист1!$B26)</f>
        <v>21</v>
      </c>
      <c r="F26" s="7">
        <f>SUMIFS(Лист2!$D:$D,Лист2!$A:$A,Лист1!$A26,Лист2!$B:$B,Лист1!$B26)</f>
        <v>1646</v>
      </c>
      <c r="G26" s="7">
        <f>SUMIFS(Лист2!$E:$E,Лист2!$A:$A,Лист1!$A26,Лист2!$B:$B,Лист1!$B26)</f>
        <v>1492</v>
      </c>
      <c r="H26" s="13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SUMIFS(Лист2!$C:$C,Лист2!$A:$A,Лист1!$A27,Лист2!$B:$B,Лист1!$B27)</f>
        <v>21</v>
      </c>
      <c r="F27" s="7">
        <f>SUMIFS(Лист2!$D:$D,Лист2!$A:$A,Лист1!$A27,Лист2!$B:$B,Лист1!$B27)</f>
        <v>1542</v>
      </c>
      <c r="G27" s="7">
        <f>SUMIFS(Лист2!$E:$E,Лист2!$A:$A,Лист1!$A27,Лист2!$B:$B,Лист1!$B27)</f>
        <v>1405</v>
      </c>
      <c r="H27" s="13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SUMIFS(Лист2!$C:$C,Лист2!$A:$A,Лист1!$A28,Лист2!$B:$B,Лист1!$B28)</f>
        <v>20</v>
      </c>
      <c r="F28" s="7">
        <f>SUMIFS(Лист2!$D:$D,Лист2!$A:$A,Лист1!$A28,Лист2!$B:$B,Лист1!$B28)</f>
        <v>1999</v>
      </c>
      <c r="G28" s="7">
        <f>SUMIFS(Лист2!$E:$E,Лист2!$A:$A,Лист1!$A28,Лист2!$B:$B,Лист1!$B28)</f>
        <v>1829</v>
      </c>
      <c r="H28" s="13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SUMIFS(Лист2!$C:$C,Лист2!$A:$A,Лист1!$A29,Лист2!$B:$B,Лист1!$B29)</f>
        <v>21</v>
      </c>
      <c r="F29" s="7">
        <f>SUMIFS(Лист2!$D:$D,Лист2!$A:$A,Лист1!$A29,Лист2!$B:$B,Лист1!$B29)</f>
        <v>2271</v>
      </c>
      <c r="G29" s="7">
        <f>SUMIFS(Лист2!$E:$E,Лист2!$A:$A,Лист1!$A29,Лист2!$B:$B,Лист1!$B29)</f>
        <v>2085</v>
      </c>
      <c r="H29" s="13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SUMIFS(Лист2!$C:$C,Лист2!$A:$A,Лист1!$A30,Лист2!$B:$B,Лист1!$B30)</f>
        <v>20</v>
      </c>
      <c r="F30" s="7">
        <f>SUMIFS(Лист2!$D:$D,Лист2!$A:$A,Лист1!$A30,Лист2!$B:$B,Лист1!$B30)</f>
        <v>2597</v>
      </c>
      <c r="G30" s="7">
        <f>SUMIFS(Лист2!$E:$E,Лист2!$A:$A,Лист1!$A30,Лист2!$B:$B,Лист1!$B30)</f>
        <v>2376</v>
      </c>
      <c r="H30" s="13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SUMIFS(Лист2!$C:$C,Лист2!$A:$A,Лист1!$A31,Лист2!$B:$B,Лист1!$B31)</f>
        <v>20</v>
      </c>
      <c r="F31" s="7">
        <f>SUMIFS(Лист2!$D:$D,Лист2!$A:$A,Лист1!$A31,Лист2!$B:$B,Лист1!$B31)</f>
        <v>1886</v>
      </c>
      <c r="G31" s="7">
        <f>SUMIFS(Лист2!$E:$E,Лист2!$A:$A,Лист1!$A31,Лист2!$B:$B,Лист1!$B31)</f>
        <v>1736</v>
      </c>
      <c r="H31" s="13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SUMIFS(Лист2!$C:$C,Лист2!$A:$A,Лист1!$A32,Лист2!$B:$B,Лист1!$B32)</f>
        <v>31</v>
      </c>
      <c r="F32" s="7">
        <f>SUMIFS(Лист2!$D:$D,Лист2!$A:$A,Лист1!$A32,Лист2!$B:$B,Лист1!$B32)</f>
        <v>5593</v>
      </c>
      <c r="G32" s="7">
        <f>SUMIFS(Лист2!$E:$E,Лист2!$A:$A,Лист1!$A32,Лист2!$B:$B,Лист1!$B32)</f>
        <v>5177</v>
      </c>
      <c r="H32" s="13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SUMIFS(Лист2!$C:$C,Лист2!$A:$A,Лист1!$A33,Лист2!$B:$B,Лист1!$B33)</f>
        <v>31</v>
      </c>
      <c r="F33" s="7">
        <f>SUMIFS(Лист2!$D:$D,Лист2!$A:$A,Лист1!$A33,Лист2!$B:$B,Лист1!$B33)</f>
        <v>5389</v>
      </c>
      <c r="G33" s="7">
        <f>SUMIFS(Лист2!$E:$E,Лист2!$A:$A,Лист1!$A33,Лист2!$B:$B,Лист1!$B33)</f>
        <v>5024</v>
      </c>
      <c r="H33" s="1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SUMIFS(Лист2!$C:$C,Лист2!$A:$A,Лист1!$A34,Лист2!$B:$B,Лист1!$B34)</f>
        <v>31</v>
      </c>
      <c r="F34" s="7">
        <f>SUMIFS(Лист2!$D:$D,Лист2!$A:$A,Лист1!$A34,Лист2!$B:$B,Лист1!$B34)</f>
        <v>5206</v>
      </c>
      <c r="G34" s="7">
        <f>SUMIFS(Лист2!$E:$E,Лист2!$A:$A,Лист1!$A34,Лист2!$B:$B,Лист1!$B34)</f>
        <v>4843</v>
      </c>
      <c r="H34" s="13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SUMIFS(Лист2!$C:$C,Лист2!$A:$A,Лист1!$A35,Лист2!$B:$B,Лист1!$B35)</f>
        <v>31</v>
      </c>
      <c r="F35" s="7">
        <f>SUMIFS(Лист2!$D:$D,Лист2!$A:$A,Лист1!$A35,Лист2!$B:$B,Лист1!$B35)</f>
        <v>4556</v>
      </c>
      <c r="G35" s="7">
        <f>SUMIFS(Лист2!$E:$E,Лист2!$A:$A,Лист1!$A35,Лист2!$B:$B,Лист1!$B35)</f>
        <v>4220</v>
      </c>
      <c r="H35" s="13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SUMIFS(Лист2!$C:$C,Лист2!$A:$A,Лист1!$A36,Лист2!$B:$B,Лист1!$B36)</f>
        <v>31</v>
      </c>
      <c r="F36" s="7">
        <f>SUMIFS(Лист2!$D:$D,Лист2!$A:$A,Лист1!$A36,Лист2!$B:$B,Лист1!$B36)</f>
        <v>4968</v>
      </c>
      <c r="G36" s="7">
        <f>SUMIFS(Лист2!$E:$E,Лист2!$A:$A,Лист1!$A36,Лист2!$B:$B,Лист1!$B36)</f>
        <v>4596</v>
      </c>
      <c r="H36" s="13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SUMIFS(Лист2!$C:$C,Лист2!$A:$A,Лист1!$A37,Лист2!$B:$B,Лист1!$B37)</f>
        <v>31</v>
      </c>
      <c r="F37" s="7">
        <f>SUMIFS(Лист2!$D:$D,Лист2!$A:$A,Лист1!$A37,Лист2!$B:$B,Лист1!$B37)</f>
        <v>5378</v>
      </c>
      <c r="G37" s="7">
        <f>SUMIFS(Лист2!$E:$E,Лист2!$A:$A,Лист1!$A37,Лист2!$B:$B,Лист1!$B37)</f>
        <v>4985</v>
      </c>
      <c r="H37" s="13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SUMIFS(Лист2!$C:$C,Лист2!$A:$A,Лист1!$A38,Лист2!$B:$B,Лист1!$B38)</f>
        <v>31</v>
      </c>
      <c r="F38" s="7">
        <f>SUMIFS(Лист2!$D:$D,Лист2!$A:$A,Лист1!$A38,Лист2!$B:$B,Лист1!$B38)</f>
        <v>4157</v>
      </c>
      <c r="G38" s="7">
        <f>SUMIFS(Лист2!$E:$E,Лист2!$A:$A,Лист1!$A38,Лист2!$B:$B,Лист1!$B38)</f>
        <v>3823</v>
      </c>
      <c r="H38" s="13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SUMIFS(Лист2!$C:$C,Лист2!$A:$A,Лист1!$A39,Лист2!$B:$B,Лист1!$B39)</f>
        <v>31</v>
      </c>
      <c r="F39" s="7">
        <f>SUMIFS(Лист2!$D:$D,Лист2!$A:$A,Лист1!$A39,Лист2!$B:$B,Лист1!$B39)</f>
        <v>5493</v>
      </c>
      <c r="G39" s="7">
        <f>SUMIFS(Лист2!$E:$E,Лист2!$A:$A,Лист1!$A39,Лист2!$B:$B,Лист1!$B39)</f>
        <v>5119</v>
      </c>
      <c r="H39" s="13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SUMIFS(Лист2!$C:$C,Лист2!$A:$A,Лист1!$A40,Лист2!$B:$B,Лист1!$B40)</f>
        <v>31</v>
      </c>
      <c r="F40" s="7">
        <f>SUMIFS(Лист2!$D:$D,Лист2!$A:$A,Лист1!$A40,Лист2!$B:$B,Лист1!$B40)</f>
        <v>6118</v>
      </c>
      <c r="G40" s="7">
        <f>SUMIFS(Лист2!$E:$E,Лист2!$A:$A,Лист1!$A40,Лист2!$B:$B,Лист1!$B40)</f>
        <v>5564</v>
      </c>
      <c r="H40" s="13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SUMIFS(Лист2!$C:$C,Лист2!$A:$A,Лист1!$A41,Лист2!$B:$B,Лист1!$B41)</f>
        <v>31</v>
      </c>
      <c r="F41" s="7">
        <f>SUMIFS(Лист2!$D:$D,Лист2!$A:$A,Лист1!$A41,Лист2!$B:$B,Лист1!$B41)</f>
        <v>4800</v>
      </c>
      <c r="G41" s="7">
        <f>SUMIFS(Лист2!$E:$E,Лист2!$A:$A,Лист1!$A41,Лист2!$B:$B,Лист1!$B41)</f>
        <v>4470</v>
      </c>
      <c r="H41" s="13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SUMIFS(Лист2!$C:$C,Лист2!$A:$A,Лист1!$A42,Лист2!$B:$B,Лист1!$B42)</f>
        <v>31</v>
      </c>
      <c r="F42" s="7">
        <f>SUMIFS(Лист2!$D:$D,Лист2!$A:$A,Лист1!$A42,Лист2!$B:$B,Лист1!$B42)</f>
        <v>5207</v>
      </c>
      <c r="G42" s="7">
        <f>SUMIFS(Лист2!$E:$E,Лист2!$A:$A,Лист1!$A42,Лист2!$B:$B,Лист1!$B42)</f>
        <v>4868</v>
      </c>
      <c r="H42" s="13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SUMIFS(Лист2!$C:$C,Лист2!$A:$A,Лист1!$A43,Лист2!$B:$B,Лист1!$B43)</f>
        <v>31</v>
      </c>
      <c r="F43" s="7">
        <f>SUMIFS(Лист2!$D:$D,Лист2!$A:$A,Лист1!$A43,Лист2!$B:$B,Лист1!$B43)</f>
        <v>5698</v>
      </c>
      <c r="G43" s="7">
        <f>SUMIFS(Лист2!$E:$E,Лист2!$A:$A,Лист1!$A43,Лист2!$B:$B,Лист1!$B43)</f>
        <v>5258</v>
      </c>
      <c r="H43" s="1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SUMIFS(Лист2!$C:$C,Лист2!$A:$A,Лист1!$A44,Лист2!$B:$B,Лист1!$B44)</f>
        <v>31</v>
      </c>
      <c r="F44" s="7">
        <f>SUMIFS(Лист2!$D:$D,Лист2!$A:$A,Лист1!$A44,Лист2!$B:$B,Лист1!$B44)</f>
        <v>5188</v>
      </c>
      <c r="G44" s="7">
        <f>SUMIFS(Лист2!$E:$E,Лист2!$A:$A,Лист1!$A44,Лист2!$B:$B,Лист1!$B44)</f>
        <v>4800</v>
      </c>
      <c r="H44" s="13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SUMIFS(Лист2!$C:$C,Лист2!$A:$A,Лист1!$A45,Лист2!$B:$B,Лист1!$B45)</f>
        <v>31</v>
      </c>
      <c r="F45" s="7">
        <f>SUMIFS(Лист2!$D:$D,Лист2!$A:$A,Лист1!$A45,Лист2!$B:$B,Лист1!$B45)</f>
        <v>5465</v>
      </c>
      <c r="G45" s="7">
        <f>SUMIFS(Лист2!$E:$E,Лист2!$A:$A,Лист1!$A45,Лист2!$B:$B,Лист1!$B45)</f>
        <v>5096</v>
      </c>
      <c r="H45" s="13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SUMIFS(Лист2!$C:$C,Лист2!$A:$A,Лист1!$A46,Лист2!$B:$B,Лист1!$B46)</f>
        <v>31</v>
      </c>
      <c r="F46" s="7">
        <f>SUMIFS(Лист2!$D:$D,Лист2!$A:$A,Лист1!$A46,Лист2!$B:$B,Лист1!$B46)</f>
        <v>5251</v>
      </c>
      <c r="G46" s="7">
        <f>SUMIFS(Лист2!$E:$E,Лист2!$A:$A,Лист1!$A46,Лист2!$B:$B,Лист1!$B46)</f>
        <v>4853</v>
      </c>
      <c r="H46" s="13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SUMIFS(Лист2!$C:$C,Лист2!$A:$A,Лист1!$A47,Лист2!$B:$B,Лист1!$B47)</f>
        <v>31</v>
      </c>
      <c r="F47" s="7">
        <f>SUMIFS(Лист2!$D:$D,Лист2!$A:$A,Лист1!$A47,Лист2!$B:$B,Лист1!$B47)</f>
        <v>5155</v>
      </c>
      <c r="G47" s="7">
        <f>SUMIFS(Лист2!$E:$E,Лист2!$A:$A,Лист1!$A47,Лист2!$B:$B,Лист1!$B47)</f>
        <v>4762</v>
      </c>
      <c r="H47" s="13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SUMIFS(Лист2!$C:$C,Лист2!$A:$A,Лист1!$A48,Лист2!$B:$B,Лист1!$B48)</f>
        <v>31</v>
      </c>
      <c r="F48" s="7">
        <f>SUMIFS(Лист2!$D:$D,Лист2!$A:$A,Лист1!$A48,Лист2!$B:$B,Лист1!$B48)</f>
        <v>4709</v>
      </c>
      <c r="G48" s="7">
        <f>SUMIFS(Лист2!$E:$E,Лист2!$A:$A,Лист1!$A48,Лист2!$B:$B,Лист1!$B48)</f>
        <v>4348</v>
      </c>
      <c r="H48" s="13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SUMIFS(Лист2!$C:$C,Лист2!$A:$A,Лист1!$A49,Лист2!$B:$B,Лист1!$B49)</f>
        <v>31</v>
      </c>
      <c r="F49" s="7">
        <f>SUMIFS(Лист2!$D:$D,Лист2!$A:$A,Лист1!$A49,Лист2!$B:$B,Лист1!$B49)</f>
        <v>6276</v>
      </c>
      <c r="G49" s="7">
        <f>SUMIFS(Лист2!$E:$E,Лист2!$A:$A,Лист1!$A49,Лист2!$B:$B,Лист1!$B49)</f>
        <v>5801</v>
      </c>
      <c r="H49" s="13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SUMIFS(Лист2!$C:$C,Лист2!$A:$A,Лист1!$A50,Лист2!$B:$B,Лист1!$B50)</f>
        <v>31</v>
      </c>
      <c r="F50" s="7">
        <f>SUMIFS(Лист2!$D:$D,Лист2!$A:$A,Лист1!$A50,Лист2!$B:$B,Лист1!$B50)</f>
        <v>5210</v>
      </c>
      <c r="G50" s="7">
        <f>SUMIFS(Лист2!$E:$E,Лист2!$A:$A,Лист1!$A50,Лист2!$B:$B,Лист1!$B50)</f>
        <v>4841</v>
      </c>
      <c r="H50" s="13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SUMIFS(Лист2!$C:$C,Лист2!$A:$A,Лист1!$A51,Лист2!$B:$B,Лист1!$B51)</f>
        <v>31</v>
      </c>
      <c r="F51" s="7">
        <f>SUMIFS(Лист2!$D:$D,Лист2!$A:$A,Лист1!$A51,Лист2!$B:$B,Лист1!$B51)</f>
        <v>5120</v>
      </c>
      <c r="G51" s="7">
        <f>SUMIFS(Лист2!$E:$E,Лист2!$A:$A,Лист1!$A51,Лист2!$B:$B,Лист1!$B51)</f>
        <v>4737</v>
      </c>
      <c r="H51" s="13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SUMIFS(Лист2!$C:$C,Лист2!$A:$A,Лист1!$A52,Лист2!$B:$B,Лист1!$B52)</f>
        <v>31</v>
      </c>
      <c r="F52" s="7">
        <f>SUMIFS(Лист2!$D:$D,Лист2!$A:$A,Лист1!$A52,Лист2!$B:$B,Лист1!$B52)</f>
        <v>5495</v>
      </c>
      <c r="G52" s="7">
        <f>SUMIFS(Лист2!$E:$E,Лист2!$A:$A,Лист1!$A52,Лист2!$B:$B,Лист1!$B52)</f>
        <v>5093</v>
      </c>
      <c r="H52" s="13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SUMIFS(Лист2!$C:$C,Лист2!$A:$A,Лист1!$A53,Лист2!$B:$B,Лист1!$B53)</f>
        <v>31</v>
      </c>
      <c r="F53" s="7">
        <f>SUMIFS(Лист2!$D:$D,Лист2!$A:$A,Лист1!$A53,Лист2!$B:$B,Лист1!$B53)</f>
        <v>4635</v>
      </c>
      <c r="G53" s="7">
        <f>SUMIFS(Лист2!$E:$E,Лист2!$A:$A,Лист1!$A53,Лист2!$B:$B,Лист1!$B53)</f>
        <v>4266</v>
      </c>
      <c r="H53" s="1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SUMIFS(Лист2!$C:$C,Лист2!$A:$A,Лист1!$A54,Лист2!$B:$B,Лист1!$B54)</f>
        <v>31</v>
      </c>
      <c r="F54" s="7">
        <f>SUMIFS(Лист2!$D:$D,Лист2!$A:$A,Лист1!$A54,Лист2!$B:$B,Лист1!$B54)</f>
        <v>4903</v>
      </c>
      <c r="G54" s="7">
        <f>SUMIFS(Лист2!$E:$E,Лист2!$A:$A,Лист1!$A54,Лист2!$B:$B,Лист1!$B54)</f>
        <v>4527</v>
      </c>
      <c r="H54" s="13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SUMIFS(Лист2!$C:$C,Лист2!$A:$A,Лист1!$A55,Лист2!$B:$B,Лист1!$B55)</f>
        <v>31</v>
      </c>
      <c r="F55" s="7">
        <f>SUMIFS(Лист2!$D:$D,Лист2!$A:$A,Лист1!$A55,Лист2!$B:$B,Лист1!$B55)</f>
        <v>5035</v>
      </c>
      <c r="G55" s="7">
        <f>SUMIFS(Лист2!$E:$E,Лист2!$A:$A,Лист1!$A55,Лист2!$B:$B,Лист1!$B55)</f>
        <v>4683</v>
      </c>
      <c r="H55" s="13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SUMIFS(Лист2!$C:$C,Лист2!$A:$A,Лист1!$A56,Лист2!$B:$B,Лист1!$B56)</f>
        <v>10</v>
      </c>
      <c r="F56" s="7">
        <f>SUMIFS(Лист2!$D:$D,Лист2!$A:$A,Лист1!$A56,Лист2!$B:$B,Лист1!$B56)</f>
        <v>760</v>
      </c>
      <c r="G56" s="7">
        <f>SUMIFS(Лист2!$E:$E,Лист2!$A:$A,Лист1!$A56,Лист2!$B:$B,Лист1!$B56)</f>
        <v>672</v>
      </c>
      <c r="H56" s="13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SUMIFS(Лист2!$C:$C,Лист2!$A:$A,Лист1!$A57,Лист2!$B:$B,Лист1!$B57)</f>
        <v>10</v>
      </c>
      <c r="F57" s="7">
        <f>SUMIFS(Лист2!$D:$D,Лист2!$A:$A,Лист1!$A57,Лист2!$B:$B,Лист1!$B57)</f>
        <v>649</v>
      </c>
      <c r="G57" s="7">
        <f>SUMIFS(Лист2!$E:$E,Лист2!$A:$A,Лист1!$A57,Лист2!$B:$B,Лист1!$B57)</f>
        <v>568</v>
      </c>
      <c r="H57" s="13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SUMIFS(Лист2!$C:$C,Лист2!$A:$A,Лист1!$A58,Лист2!$B:$B,Лист1!$B58)</f>
        <v>10</v>
      </c>
      <c r="F58" s="7">
        <f>SUMIFS(Лист2!$D:$D,Лист2!$A:$A,Лист1!$A58,Лист2!$B:$B,Лист1!$B58)</f>
        <v>591</v>
      </c>
      <c r="G58" s="7">
        <f>SUMIFS(Лист2!$E:$E,Лист2!$A:$A,Лист1!$A58,Лист2!$B:$B,Лист1!$B58)</f>
        <v>513</v>
      </c>
      <c r="H58" s="13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SUMIFS(Лист2!$C:$C,Лист2!$A:$A,Лист1!$A59,Лист2!$B:$B,Лист1!$B59)</f>
        <v>10</v>
      </c>
      <c r="F59" s="7">
        <f>SUMIFS(Лист2!$D:$D,Лист2!$A:$A,Лист1!$A59,Лист2!$B:$B,Лист1!$B59)</f>
        <v>644</v>
      </c>
      <c r="G59" s="7">
        <f>SUMIFS(Лист2!$E:$E,Лист2!$A:$A,Лист1!$A59,Лист2!$B:$B,Лист1!$B59)</f>
        <v>559</v>
      </c>
      <c r="H59" s="13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SUMIFS(Лист2!$C:$C,Лист2!$A:$A,Лист1!$A60,Лист2!$B:$B,Лист1!$B60)</f>
        <v>10</v>
      </c>
      <c r="F60" s="7">
        <f>SUMIFS(Лист2!$D:$D,Лист2!$A:$A,Лист1!$A60,Лист2!$B:$B,Лист1!$B60)</f>
        <v>462</v>
      </c>
      <c r="G60" s="7">
        <f>SUMIFS(Лист2!$E:$E,Лист2!$A:$A,Лист1!$A60,Лист2!$B:$B,Лист1!$B60)</f>
        <v>396</v>
      </c>
      <c r="H60" s="13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SUMIFS(Лист2!$C:$C,Лист2!$A:$A,Лист1!$A61,Лист2!$B:$B,Лист1!$B61)</f>
        <v>10</v>
      </c>
      <c r="F61" s="7">
        <f>SUMIFS(Лист2!$D:$D,Лист2!$A:$A,Лист1!$A61,Лист2!$B:$B,Лист1!$B61)</f>
        <v>502</v>
      </c>
      <c r="G61" s="7">
        <f>SUMIFS(Лист2!$E:$E,Лист2!$A:$A,Лист1!$A61,Лист2!$B:$B,Лист1!$B61)</f>
        <v>433</v>
      </c>
      <c r="H61" s="13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SUMIFS(Лист2!$C:$C,Лист2!$A:$A,Лист1!$A62,Лист2!$B:$B,Лист1!$B62)</f>
        <v>10</v>
      </c>
      <c r="F62" s="7">
        <f>SUMIFS(Лист2!$D:$D,Лист2!$A:$A,Лист1!$A62,Лист2!$B:$B,Лист1!$B62)</f>
        <v>416</v>
      </c>
      <c r="G62" s="7">
        <f>SUMIFS(Лист2!$E:$E,Лист2!$A:$A,Лист1!$A62,Лист2!$B:$B,Лист1!$B62)</f>
        <v>341</v>
      </c>
      <c r="H62" s="13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SUMIFS(Лист2!$C:$C,Лист2!$A:$A,Лист1!$A63,Лист2!$B:$B,Лист1!$B63)</f>
        <v>10</v>
      </c>
      <c r="F63" s="7">
        <f>SUMIFS(Лист2!$D:$D,Лист2!$A:$A,Лист1!$A63,Лист2!$B:$B,Лист1!$B63)</f>
        <v>692</v>
      </c>
      <c r="G63" s="7">
        <f>SUMIFS(Лист2!$E:$E,Лист2!$A:$A,Лист1!$A63,Лист2!$B:$B,Лист1!$B63)</f>
        <v>601</v>
      </c>
      <c r="H63" s="1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SUMIFS(Лист2!$C:$C,Лист2!$A:$A,Лист1!$A64,Лист2!$B:$B,Лист1!$B64)</f>
        <v>10</v>
      </c>
      <c r="F64" s="7">
        <f>SUMIFS(Лист2!$D:$D,Лист2!$A:$A,Лист1!$A64,Лист2!$B:$B,Лист1!$B64)</f>
        <v>554</v>
      </c>
      <c r="G64" s="7">
        <f>SUMIFS(Лист2!$E:$E,Лист2!$A:$A,Лист1!$A64,Лист2!$B:$B,Лист1!$B64)</f>
        <v>472</v>
      </c>
      <c r="H64" s="13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SUMIFS(Лист2!$C:$C,Лист2!$A:$A,Лист1!$A65,Лист2!$B:$B,Лист1!$B65)</f>
        <v>10</v>
      </c>
      <c r="F65" s="7">
        <f>SUMIFS(Лист2!$D:$D,Лист2!$A:$A,Лист1!$A65,Лист2!$B:$B,Лист1!$B65)</f>
        <v>526</v>
      </c>
      <c r="G65" s="7">
        <f>SUMIFS(Лист2!$E:$E,Лист2!$A:$A,Лист1!$A65,Лист2!$B:$B,Лист1!$B65)</f>
        <v>448</v>
      </c>
      <c r="H65" s="13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SUMIFS(Лист2!$C:$C,Лист2!$A:$A,Лист1!$A66,Лист2!$B:$B,Лист1!$B66)</f>
        <v>10</v>
      </c>
      <c r="F66" s="7">
        <f>SUMIFS(Лист2!$D:$D,Лист2!$A:$A,Лист1!$A66,Лист2!$B:$B,Лист1!$B66)</f>
        <v>677</v>
      </c>
      <c r="G66" s="7">
        <f>SUMIFS(Лист2!$E:$E,Лист2!$A:$A,Лист1!$A66,Лист2!$B:$B,Лист1!$B66)</f>
        <v>591</v>
      </c>
      <c r="H66" s="13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SUMIFS(Лист2!$C:$C,Лист2!$A:$A,Лист1!$A67,Лист2!$B:$B,Лист1!$B67)</f>
        <v>10</v>
      </c>
      <c r="F67" s="7">
        <f>SUMIFS(Лист2!$D:$D,Лист2!$A:$A,Лист1!$A67,Лист2!$B:$B,Лист1!$B67)</f>
        <v>745</v>
      </c>
      <c r="G67" s="7">
        <f>SUMIFS(Лист2!$E:$E,Лист2!$A:$A,Лист1!$A67,Лист2!$B:$B,Лист1!$B67)</f>
        <v>654</v>
      </c>
      <c r="H67" s="13">
        <f t="shared" ref="H67:H130" si="2">D67/E67</f>
        <v>103724.7</v>
      </c>
      <c r="I67">
        <f t="shared" ref="I67:I130" si="3">WEEKNUM(A67,2)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SUMIFS(Лист2!$C:$C,Лист2!$A:$A,Лист1!$A68,Лист2!$B:$B,Лист1!$B68)</f>
        <v>10</v>
      </c>
      <c r="F68" s="7">
        <f>SUMIFS(Лист2!$D:$D,Лист2!$A:$A,Лист1!$A68,Лист2!$B:$B,Лист1!$B68)</f>
        <v>511</v>
      </c>
      <c r="G68" s="7">
        <f>SUMIFS(Лист2!$E:$E,Лист2!$A:$A,Лист1!$A68,Лист2!$B:$B,Лист1!$B68)</f>
        <v>437</v>
      </c>
      <c r="H68" s="13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SUMIFS(Лист2!$C:$C,Лист2!$A:$A,Лист1!$A69,Лист2!$B:$B,Лист1!$B69)</f>
        <v>10</v>
      </c>
      <c r="F69" s="7">
        <f>SUMIFS(Лист2!$D:$D,Лист2!$A:$A,Лист1!$A69,Лист2!$B:$B,Лист1!$B69)</f>
        <v>580</v>
      </c>
      <c r="G69" s="7">
        <f>SUMIFS(Лист2!$E:$E,Лист2!$A:$A,Лист1!$A69,Лист2!$B:$B,Лист1!$B69)</f>
        <v>506</v>
      </c>
      <c r="H69" s="13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SUMIFS(Лист2!$C:$C,Лист2!$A:$A,Лист1!$A70,Лист2!$B:$B,Лист1!$B70)</f>
        <v>10</v>
      </c>
      <c r="F70" s="7">
        <f>SUMIFS(Лист2!$D:$D,Лист2!$A:$A,Лист1!$A70,Лист2!$B:$B,Лист1!$B70)</f>
        <v>612</v>
      </c>
      <c r="G70" s="7">
        <f>SUMIFS(Лист2!$E:$E,Лист2!$A:$A,Лист1!$A70,Лист2!$B:$B,Лист1!$B70)</f>
        <v>530</v>
      </c>
      <c r="H70" s="13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SUMIFS(Лист2!$C:$C,Лист2!$A:$A,Лист1!$A71,Лист2!$B:$B,Лист1!$B71)</f>
        <v>31</v>
      </c>
      <c r="F71" s="7">
        <f>SUMIFS(Лист2!$D:$D,Лист2!$A:$A,Лист1!$A71,Лист2!$B:$B,Лист1!$B71)</f>
        <v>5760</v>
      </c>
      <c r="G71" s="7">
        <f>SUMIFS(Лист2!$E:$E,Лист2!$A:$A,Лист1!$A71,Лист2!$B:$B,Лист1!$B71)</f>
        <v>5367</v>
      </c>
      <c r="H71" s="13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SUMIFS(Лист2!$C:$C,Лист2!$A:$A,Лист1!$A72,Лист2!$B:$B,Лист1!$B72)</f>
        <v>10</v>
      </c>
      <c r="F72" s="7">
        <f>SUMIFS(Лист2!$D:$D,Лист2!$A:$A,Лист1!$A72,Лист2!$B:$B,Лист1!$B72)</f>
        <v>402</v>
      </c>
      <c r="G72" s="7">
        <f>SUMIFS(Лист2!$E:$E,Лист2!$A:$A,Лист1!$A72,Лист2!$B:$B,Лист1!$B72)</f>
        <v>333</v>
      </c>
      <c r="H72" s="13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SUMIFS(Лист2!$C:$C,Лист2!$A:$A,Лист1!$A73,Лист2!$B:$B,Лист1!$B73)</f>
        <v>31</v>
      </c>
      <c r="F73" s="7">
        <f>SUMIFS(Лист2!$D:$D,Лист2!$A:$A,Лист1!$A73,Лист2!$B:$B,Лист1!$B73)</f>
        <v>6735</v>
      </c>
      <c r="G73" s="7">
        <f>SUMIFS(Лист2!$E:$E,Лист2!$A:$A,Лист1!$A73,Лист2!$B:$B,Лист1!$B73)</f>
        <v>6264</v>
      </c>
      <c r="H73" s="1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SUMIFS(Лист2!$C:$C,Лист2!$A:$A,Лист1!$A74,Лист2!$B:$B,Лист1!$B74)</f>
        <v>10</v>
      </c>
      <c r="F74" s="7">
        <f>SUMIFS(Лист2!$D:$D,Лист2!$A:$A,Лист1!$A74,Лист2!$B:$B,Лист1!$B74)</f>
        <v>465</v>
      </c>
      <c r="G74" s="7">
        <f>SUMIFS(Лист2!$E:$E,Лист2!$A:$A,Лист1!$A74,Лист2!$B:$B,Лист1!$B74)</f>
        <v>390</v>
      </c>
      <c r="H74" s="13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SUMIFS(Лист2!$C:$C,Лист2!$A:$A,Лист1!$A75,Лист2!$B:$B,Лист1!$B75)</f>
        <v>10</v>
      </c>
      <c r="F75" s="7">
        <f>SUMIFS(Лист2!$D:$D,Лист2!$A:$A,Лист1!$A75,Лист2!$B:$B,Лист1!$B75)</f>
        <v>828</v>
      </c>
      <c r="G75" s="7">
        <f>SUMIFS(Лист2!$E:$E,Лист2!$A:$A,Лист1!$A75,Лист2!$B:$B,Лист1!$B75)</f>
        <v>734</v>
      </c>
      <c r="H75" s="13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SUMIFS(Лист2!$C:$C,Лист2!$A:$A,Лист1!$A76,Лист2!$B:$B,Лист1!$B76)</f>
        <v>31</v>
      </c>
      <c r="F76" s="7">
        <f>SUMIFS(Лист2!$D:$D,Лист2!$A:$A,Лист1!$A76,Лист2!$B:$B,Лист1!$B76)</f>
        <v>5355</v>
      </c>
      <c r="G76" s="7">
        <f>SUMIFS(Лист2!$E:$E,Лист2!$A:$A,Лист1!$A76,Лист2!$B:$B,Лист1!$B76)</f>
        <v>4969</v>
      </c>
      <c r="H76" s="13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SUMIFS(Лист2!$C:$C,Лист2!$A:$A,Лист1!$A77,Лист2!$B:$B,Лист1!$B77)</f>
        <v>10</v>
      </c>
      <c r="F77" s="7">
        <f>SUMIFS(Лист2!$D:$D,Лист2!$A:$A,Лист1!$A77,Лист2!$B:$B,Лист1!$B77)</f>
        <v>739</v>
      </c>
      <c r="G77" s="7">
        <f>SUMIFS(Лист2!$E:$E,Лист2!$A:$A,Лист1!$A77,Лист2!$B:$B,Лист1!$B77)</f>
        <v>642</v>
      </c>
      <c r="H77" s="13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SUMIFS(Лист2!$C:$C,Лист2!$A:$A,Лист1!$A78,Лист2!$B:$B,Лист1!$B78)</f>
        <v>10</v>
      </c>
      <c r="F78" s="7">
        <f>SUMIFS(Лист2!$D:$D,Лист2!$A:$A,Лист1!$A78,Лист2!$B:$B,Лист1!$B78)</f>
        <v>448</v>
      </c>
      <c r="G78" s="7">
        <f>SUMIFS(Лист2!$E:$E,Лист2!$A:$A,Лист1!$A78,Лист2!$B:$B,Лист1!$B78)</f>
        <v>376</v>
      </c>
      <c r="H78" s="13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SUMIFS(Лист2!$C:$C,Лист2!$A:$A,Лист1!$A79,Лист2!$B:$B,Лист1!$B79)</f>
        <v>10</v>
      </c>
      <c r="F79" s="7">
        <f>SUMIFS(Лист2!$D:$D,Лист2!$A:$A,Лист1!$A79,Лист2!$B:$B,Лист1!$B79)</f>
        <v>642</v>
      </c>
      <c r="G79" s="7">
        <f>SUMIFS(Лист2!$E:$E,Лист2!$A:$A,Лист1!$A79,Лист2!$B:$B,Лист1!$B79)</f>
        <v>556</v>
      </c>
      <c r="H79" s="13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SUMIFS(Лист2!$C:$C,Лист2!$A:$A,Лист1!$A80,Лист2!$B:$B,Лист1!$B80)</f>
        <v>10</v>
      </c>
      <c r="F80" s="7">
        <f>SUMIFS(Лист2!$D:$D,Лист2!$A:$A,Лист1!$A80,Лист2!$B:$B,Лист1!$B80)</f>
        <v>638</v>
      </c>
      <c r="G80" s="7">
        <f>SUMIFS(Лист2!$E:$E,Лист2!$A:$A,Лист1!$A80,Лист2!$B:$B,Лист1!$B80)</f>
        <v>547</v>
      </c>
      <c r="H80" s="13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SUMIFS(Лист2!$C:$C,Лист2!$A:$A,Лист1!$A81,Лист2!$B:$B,Лист1!$B81)</f>
        <v>10</v>
      </c>
      <c r="F81" s="7">
        <f>SUMIFS(Лист2!$D:$D,Лист2!$A:$A,Лист1!$A81,Лист2!$B:$B,Лист1!$B81)</f>
        <v>563</v>
      </c>
      <c r="G81" s="7">
        <f>SUMIFS(Лист2!$E:$E,Лист2!$A:$A,Лист1!$A81,Лист2!$B:$B,Лист1!$B81)</f>
        <v>486</v>
      </c>
      <c r="H81" s="13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SUMIFS(Лист2!$C:$C,Лист2!$A:$A,Лист1!$A82,Лист2!$B:$B,Лист1!$B82)</f>
        <v>10</v>
      </c>
      <c r="F82" s="7">
        <f>SUMIFS(Лист2!$D:$D,Лист2!$A:$A,Лист1!$A82,Лист2!$B:$B,Лист1!$B82)</f>
        <v>639</v>
      </c>
      <c r="G82" s="7">
        <f>SUMIFS(Лист2!$E:$E,Лист2!$A:$A,Лист1!$A82,Лист2!$B:$B,Лист1!$B82)</f>
        <v>557</v>
      </c>
      <c r="H82" s="13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SUMIFS(Лист2!$C:$C,Лист2!$A:$A,Лист1!$A83,Лист2!$B:$B,Лист1!$B83)</f>
        <v>10</v>
      </c>
      <c r="F83" s="7">
        <f>SUMIFS(Лист2!$D:$D,Лист2!$A:$A,Лист1!$A83,Лист2!$B:$B,Лист1!$B83)</f>
        <v>749</v>
      </c>
      <c r="G83" s="7">
        <f>SUMIFS(Лист2!$E:$E,Лист2!$A:$A,Лист1!$A83,Лист2!$B:$B,Лист1!$B83)</f>
        <v>655</v>
      </c>
      <c r="H83" s="13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SUMIFS(Лист2!$C:$C,Лист2!$A:$A,Лист1!$A84,Лист2!$B:$B,Лист1!$B84)</f>
        <v>10</v>
      </c>
      <c r="F84" s="7">
        <f>SUMIFS(Лист2!$D:$D,Лист2!$A:$A,Лист1!$A84,Лист2!$B:$B,Лист1!$B84)</f>
        <v>865</v>
      </c>
      <c r="G84" s="7">
        <f>SUMIFS(Лист2!$E:$E,Лист2!$A:$A,Лист1!$A84,Лист2!$B:$B,Лист1!$B84)</f>
        <v>763</v>
      </c>
      <c r="H84" s="13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SUMIFS(Лист2!$C:$C,Лист2!$A:$A,Лист1!$A85,Лист2!$B:$B,Лист1!$B85)</f>
        <v>10</v>
      </c>
      <c r="F85" s="7">
        <f>SUMIFS(Лист2!$D:$D,Лист2!$A:$A,Лист1!$A85,Лист2!$B:$B,Лист1!$B85)</f>
        <v>791</v>
      </c>
      <c r="G85" s="7">
        <f>SUMIFS(Лист2!$E:$E,Лист2!$A:$A,Лист1!$A85,Лист2!$B:$B,Лист1!$B85)</f>
        <v>697</v>
      </c>
      <c r="H85" s="13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SUMIFS(Лист2!$C:$C,Лист2!$A:$A,Лист1!$A86,Лист2!$B:$B,Лист1!$B86)</f>
        <v>19</v>
      </c>
      <c r="F86" s="7">
        <f>SUMIFS(Лист2!$D:$D,Лист2!$A:$A,Лист1!$A86,Лист2!$B:$B,Лист1!$B86)</f>
        <v>2080</v>
      </c>
      <c r="G86" s="7">
        <f>SUMIFS(Лист2!$E:$E,Лист2!$A:$A,Лист1!$A86,Лист2!$B:$B,Лист1!$B86)</f>
        <v>1844</v>
      </c>
      <c r="H86" s="13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SUMIFS(Лист2!$C:$C,Лист2!$A:$A,Лист1!$A87,Лист2!$B:$B,Лист1!$B87)</f>
        <v>19</v>
      </c>
      <c r="F87" s="7">
        <f>SUMIFS(Лист2!$D:$D,Лист2!$A:$A,Лист1!$A87,Лист2!$B:$B,Лист1!$B87)</f>
        <v>1999</v>
      </c>
      <c r="G87" s="7">
        <f>SUMIFS(Лист2!$E:$E,Лист2!$A:$A,Лист1!$A87,Лист2!$B:$B,Лист1!$B87)</f>
        <v>1799</v>
      </c>
      <c r="H87" s="13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SUMIFS(Лист2!$C:$C,Лист2!$A:$A,Лист1!$A88,Лист2!$B:$B,Лист1!$B88)</f>
        <v>19</v>
      </c>
      <c r="F88" s="7">
        <f>SUMIFS(Лист2!$D:$D,Лист2!$A:$A,Лист1!$A88,Лист2!$B:$B,Лист1!$B88)</f>
        <v>1871</v>
      </c>
      <c r="G88" s="7">
        <f>SUMIFS(Лист2!$E:$E,Лист2!$A:$A,Лист1!$A88,Лист2!$B:$B,Лист1!$B88)</f>
        <v>1660</v>
      </c>
      <c r="H88" s="13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SUMIFS(Лист2!$C:$C,Лист2!$A:$A,Лист1!$A89,Лист2!$B:$B,Лист1!$B89)</f>
        <v>19</v>
      </c>
      <c r="F89" s="7">
        <f>SUMIFS(Лист2!$D:$D,Лист2!$A:$A,Лист1!$A89,Лист2!$B:$B,Лист1!$B89)</f>
        <v>1851</v>
      </c>
      <c r="G89" s="7">
        <f>SUMIFS(Лист2!$E:$E,Лист2!$A:$A,Лист1!$A89,Лист2!$B:$B,Лист1!$B89)</f>
        <v>1635</v>
      </c>
      <c r="H89" s="13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SUMIFS(Лист2!$C:$C,Лист2!$A:$A,Лист1!$A90,Лист2!$B:$B,Лист1!$B90)</f>
        <v>19</v>
      </c>
      <c r="F90" s="7">
        <f>SUMIFS(Лист2!$D:$D,Лист2!$A:$A,Лист1!$A90,Лист2!$B:$B,Лист1!$B90)</f>
        <v>1582</v>
      </c>
      <c r="G90" s="7">
        <f>SUMIFS(Лист2!$E:$E,Лист2!$A:$A,Лист1!$A90,Лист2!$B:$B,Лист1!$B90)</f>
        <v>1403</v>
      </c>
      <c r="H90" s="13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SUMIFS(Лист2!$C:$C,Лист2!$A:$A,Лист1!$A91,Лист2!$B:$B,Лист1!$B91)</f>
        <v>18</v>
      </c>
      <c r="F91" s="7">
        <f>SUMIFS(Лист2!$D:$D,Лист2!$A:$A,Лист1!$A91,Лист2!$B:$B,Лист1!$B91)</f>
        <v>1534</v>
      </c>
      <c r="G91" s="7">
        <f>SUMIFS(Лист2!$E:$E,Лист2!$A:$A,Лист1!$A91,Лист2!$B:$B,Лист1!$B91)</f>
        <v>1369</v>
      </c>
      <c r="H91" s="13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SUMIFS(Лист2!$C:$C,Лист2!$A:$A,Лист1!$A92,Лист2!$B:$B,Лист1!$B92)</f>
        <v>19</v>
      </c>
      <c r="F92" s="7">
        <f>SUMIFS(Лист2!$D:$D,Лист2!$A:$A,Лист1!$A92,Лист2!$B:$B,Лист1!$B92)</f>
        <v>1217</v>
      </c>
      <c r="G92" s="7">
        <f>SUMIFS(Лист2!$E:$E,Лист2!$A:$A,Лист1!$A92,Лист2!$B:$B,Лист1!$B92)</f>
        <v>1048</v>
      </c>
      <c r="H92" s="13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SUMIFS(Лист2!$C:$C,Лист2!$A:$A,Лист1!$A93,Лист2!$B:$B,Лист1!$B93)</f>
        <v>20</v>
      </c>
      <c r="F93" s="7">
        <f>SUMIFS(Лист2!$D:$D,Лист2!$A:$A,Лист1!$A93,Лист2!$B:$B,Лист1!$B93)</f>
        <v>2036</v>
      </c>
      <c r="G93" s="7">
        <f>SUMIFS(Лист2!$E:$E,Лист2!$A:$A,Лист1!$A93,Лист2!$B:$B,Лист1!$B93)</f>
        <v>1790</v>
      </c>
      <c r="H93" s="13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SUMIFS(Лист2!$C:$C,Лист2!$A:$A,Лист1!$A94,Лист2!$B:$B,Лист1!$B94)</f>
        <v>19</v>
      </c>
      <c r="F94" s="7">
        <f>SUMIFS(Лист2!$D:$D,Лист2!$A:$A,Лист1!$A94,Лист2!$B:$B,Лист1!$B94)</f>
        <v>1497</v>
      </c>
      <c r="G94" s="7">
        <f>SUMIFS(Лист2!$E:$E,Лист2!$A:$A,Лист1!$A94,Лист2!$B:$B,Лист1!$B94)</f>
        <v>1291</v>
      </c>
      <c r="H94" s="13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SUMIFS(Лист2!$C:$C,Лист2!$A:$A,Лист1!$A95,Лист2!$B:$B,Лист1!$B95)</f>
        <v>19</v>
      </c>
      <c r="F95" s="7">
        <f>SUMIFS(Лист2!$D:$D,Лист2!$A:$A,Лист1!$A95,Лист2!$B:$B,Лист1!$B95)</f>
        <v>1649</v>
      </c>
      <c r="G95" s="7">
        <f>SUMIFS(Лист2!$E:$E,Лист2!$A:$A,Лист1!$A95,Лист2!$B:$B,Лист1!$B95)</f>
        <v>1460</v>
      </c>
      <c r="H95" s="13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SUMIFS(Лист2!$C:$C,Лист2!$A:$A,Лист1!$A96,Лист2!$B:$B,Лист1!$B96)</f>
        <v>19</v>
      </c>
      <c r="F96" s="7">
        <f>SUMIFS(Лист2!$D:$D,Лист2!$A:$A,Лист1!$A96,Лист2!$B:$B,Лист1!$B96)</f>
        <v>1949</v>
      </c>
      <c r="G96" s="7">
        <f>SUMIFS(Лист2!$E:$E,Лист2!$A:$A,Лист1!$A96,Лист2!$B:$B,Лист1!$B96)</f>
        <v>1724</v>
      </c>
      <c r="H96" s="13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SUMIFS(Лист2!$C:$C,Лист2!$A:$A,Лист1!$A97,Лист2!$B:$B,Лист1!$B97)</f>
        <v>19</v>
      </c>
      <c r="F97" s="7">
        <f>SUMIFS(Лист2!$D:$D,Лист2!$A:$A,Лист1!$A97,Лист2!$B:$B,Лист1!$B97)</f>
        <v>1889</v>
      </c>
      <c r="G97" s="7">
        <f>SUMIFS(Лист2!$E:$E,Лист2!$A:$A,Лист1!$A97,Лист2!$B:$B,Лист1!$B97)</f>
        <v>1690</v>
      </c>
      <c r="H97" s="13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SUMIFS(Лист2!$C:$C,Лист2!$A:$A,Лист1!$A98,Лист2!$B:$B,Лист1!$B98)</f>
        <v>19</v>
      </c>
      <c r="F98" s="7">
        <f>SUMIFS(Лист2!$D:$D,Лист2!$A:$A,Лист1!$A98,Лист2!$B:$B,Лист1!$B98)</f>
        <v>1417</v>
      </c>
      <c r="G98" s="7">
        <f>SUMIFS(Лист2!$E:$E,Лист2!$A:$A,Лист1!$A98,Лист2!$B:$B,Лист1!$B98)</f>
        <v>1245</v>
      </c>
      <c r="H98" s="13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SUMIFS(Лист2!$C:$C,Лист2!$A:$A,Лист1!$A99,Лист2!$B:$B,Лист1!$B99)</f>
        <v>17</v>
      </c>
      <c r="F99" s="7">
        <f>SUMIFS(Лист2!$D:$D,Лист2!$A:$A,Лист1!$A99,Лист2!$B:$B,Лист1!$B99)</f>
        <v>1439</v>
      </c>
      <c r="G99" s="7">
        <f>SUMIFS(Лист2!$E:$E,Лист2!$A:$A,Лист1!$A99,Лист2!$B:$B,Лист1!$B99)</f>
        <v>1265</v>
      </c>
      <c r="H99" s="13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SUMIFS(Лист2!$C:$C,Лист2!$A:$A,Лист1!$A100,Лист2!$B:$B,Лист1!$B100)</f>
        <v>19</v>
      </c>
      <c r="F100" s="7">
        <f>SUMIFS(Лист2!$D:$D,Лист2!$A:$A,Лист1!$A100,Лист2!$B:$B,Лист1!$B100)</f>
        <v>1625</v>
      </c>
      <c r="G100" s="7">
        <f>SUMIFS(Лист2!$E:$E,Лист2!$A:$A,Лист1!$A100,Лист2!$B:$B,Лист1!$B100)</f>
        <v>1444</v>
      </c>
      <c r="H100" s="13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SUMIFS(Лист2!$C:$C,Лист2!$A:$A,Лист1!$A101,Лист2!$B:$B,Лист1!$B101)</f>
        <v>19</v>
      </c>
      <c r="F101" s="7">
        <f>SUMIFS(Лист2!$D:$D,Лист2!$A:$A,Лист1!$A101,Лист2!$B:$B,Лист1!$B101)</f>
        <v>1402</v>
      </c>
      <c r="G101" s="7">
        <f>SUMIFS(Лист2!$E:$E,Лист2!$A:$A,Лист1!$A101,Лист2!$B:$B,Лист1!$B101)</f>
        <v>1234</v>
      </c>
      <c r="H101" s="13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SUMIFS(Лист2!$C:$C,Лист2!$A:$A,Лист1!$A102,Лист2!$B:$B,Лист1!$B102)</f>
        <v>19</v>
      </c>
      <c r="F102" s="7">
        <f>SUMIFS(Лист2!$D:$D,Лист2!$A:$A,Лист1!$A102,Лист2!$B:$B,Лист1!$B102)</f>
        <v>1499</v>
      </c>
      <c r="G102" s="7">
        <f>SUMIFS(Лист2!$E:$E,Лист2!$A:$A,Лист1!$A102,Лист2!$B:$B,Лист1!$B102)</f>
        <v>1323</v>
      </c>
      <c r="H102" s="13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SUMIFS(Лист2!$C:$C,Лист2!$A:$A,Лист1!$A103,Лист2!$B:$B,Лист1!$B103)</f>
        <v>20</v>
      </c>
      <c r="F103" s="7">
        <f>SUMIFS(Лист2!$D:$D,Лист2!$A:$A,Лист1!$A103,Лист2!$B:$B,Лист1!$B103)</f>
        <v>2266</v>
      </c>
      <c r="G103" s="7">
        <f>SUMIFS(Лист2!$E:$E,Лист2!$A:$A,Лист1!$A103,Лист2!$B:$B,Лист1!$B103)</f>
        <v>1993</v>
      </c>
      <c r="H103" s="13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SUMIFS(Лист2!$C:$C,Лист2!$A:$A,Лист1!$A104,Лист2!$B:$B,Лист1!$B104)</f>
        <v>20</v>
      </c>
      <c r="F104" s="7">
        <f>SUMIFS(Лист2!$D:$D,Лист2!$A:$A,Лист1!$A104,Лист2!$B:$B,Лист1!$B104)</f>
        <v>2011</v>
      </c>
      <c r="G104" s="7">
        <f>SUMIFS(Лист2!$E:$E,Лист2!$A:$A,Лист1!$A104,Лист2!$B:$B,Лист1!$B104)</f>
        <v>1791</v>
      </c>
      <c r="H104" s="13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SUMIFS(Лист2!$C:$C,Лист2!$A:$A,Лист1!$A105,Лист2!$B:$B,Лист1!$B105)</f>
        <v>19</v>
      </c>
      <c r="F105" s="7">
        <f>SUMIFS(Лист2!$D:$D,Лист2!$A:$A,Лист1!$A105,Лист2!$B:$B,Лист1!$B105)</f>
        <v>1499</v>
      </c>
      <c r="G105" s="7">
        <f>SUMIFS(Лист2!$E:$E,Лист2!$A:$A,Лист1!$A105,Лист2!$B:$B,Лист1!$B105)</f>
        <v>1322</v>
      </c>
      <c r="H105" s="13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SUMIFS(Лист2!$C:$C,Лист2!$A:$A,Лист1!$A106,Лист2!$B:$B,Лист1!$B106)</f>
        <v>19</v>
      </c>
      <c r="F106" s="7">
        <f>SUMIFS(Лист2!$D:$D,Лист2!$A:$A,Лист1!$A106,Лист2!$B:$B,Лист1!$B106)</f>
        <v>1848</v>
      </c>
      <c r="G106" s="7">
        <f>SUMIFS(Лист2!$E:$E,Лист2!$A:$A,Лист1!$A106,Лист2!$B:$B,Лист1!$B106)</f>
        <v>1649</v>
      </c>
      <c r="H106" s="13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SUMIFS(Лист2!$C:$C,Лист2!$A:$A,Лист1!$A107,Лист2!$B:$B,Лист1!$B107)</f>
        <v>19</v>
      </c>
      <c r="F107" s="7">
        <f>SUMIFS(Лист2!$D:$D,Лист2!$A:$A,Лист1!$A107,Лист2!$B:$B,Лист1!$B107)</f>
        <v>1522</v>
      </c>
      <c r="G107" s="7">
        <f>SUMIFS(Лист2!$E:$E,Лист2!$A:$A,Лист1!$A107,Лист2!$B:$B,Лист1!$B107)</f>
        <v>1340</v>
      </c>
      <c r="H107" s="13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SUMIFS(Лист2!$C:$C,Лист2!$A:$A,Лист1!$A108,Лист2!$B:$B,Лист1!$B108)</f>
        <v>19</v>
      </c>
      <c r="F108" s="7">
        <f>SUMIFS(Лист2!$D:$D,Лист2!$A:$A,Лист1!$A108,Лист2!$B:$B,Лист1!$B108)</f>
        <v>1530</v>
      </c>
      <c r="G108" s="7">
        <f>SUMIFS(Лист2!$E:$E,Лист2!$A:$A,Лист1!$A108,Лист2!$B:$B,Лист1!$B108)</f>
        <v>1338</v>
      </c>
      <c r="H108" s="13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SUMIFS(Лист2!$C:$C,Лист2!$A:$A,Лист1!$A109,Лист2!$B:$B,Лист1!$B109)</f>
        <v>20</v>
      </c>
      <c r="F109" s="7">
        <f>SUMIFS(Лист2!$D:$D,Лист2!$A:$A,Лист1!$A109,Лист2!$B:$B,Лист1!$B109)</f>
        <v>2015</v>
      </c>
      <c r="G109" s="7">
        <f>SUMIFS(Лист2!$E:$E,Лист2!$A:$A,Лист1!$A109,Лист2!$B:$B,Лист1!$B109)</f>
        <v>1803</v>
      </c>
      <c r="H109" s="13">
        <f t="shared" si="2"/>
        <v>145776.67499999999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SUMIFS(Лист2!$C:$C,Лист2!$A:$A,Лист1!$A110,Лист2!$B:$B,Лист1!$B110)</f>
        <v>20</v>
      </c>
      <c r="F110" s="7">
        <f>SUMIFS(Лист2!$D:$D,Лист2!$A:$A,Лист1!$A110,Лист2!$B:$B,Лист1!$B110)</f>
        <v>2060</v>
      </c>
      <c r="G110" s="7">
        <f>SUMIFS(Лист2!$E:$E,Лист2!$A:$A,Лист1!$A110,Лист2!$B:$B,Лист1!$B110)</f>
        <v>1826</v>
      </c>
      <c r="H110" s="13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SUMIFS(Лист2!$C:$C,Лист2!$A:$A,Лист1!$A111,Лист2!$B:$B,Лист1!$B111)</f>
        <v>20</v>
      </c>
      <c r="F111" s="7">
        <f>SUMIFS(Лист2!$D:$D,Лист2!$A:$A,Лист1!$A111,Лист2!$B:$B,Лист1!$B111)</f>
        <v>2451</v>
      </c>
      <c r="G111" s="7">
        <f>SUMIFS(Лист2!$E:$E,Лист2!$A:$A,Лист1!$A111,Лист2!$B:$B,Лист1!$B111)</f>
        <v>2178</v>
      </c>
      <c r="H111" s="13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SUMIFS(Лист2!$C:$C,Лист2!$A:$A,Лист1!$A112,Лист2!$B:$B,Лист1!$B112)</f>
        <v>20</v>
      </c>
      <c r="F112" s="7">
        <f>SUMIFS(Лист2!$D:$D,Лист2!$A:$A,Лист1!$A112,Лист2!$B:$B,Лист1!$B112)</f>
        <v>2088</v>
      </c>
      <c r="G112" s="7">
        <f>SUMIFS(Лист2!$E:$E,Лист2!$A:$A,Лист1!$A112,Лист2!$B:$B,Лист1!$B112)</f>
        <v>1848</v>
      </c>
      <c r="H112" s="13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SUMIFS(Лист2!$C:$C,Лист2!$A:$A,Лист1!$A113,Лист2!$B:$B,Лист1!$B113)</f>
        <v>129</v>
      </c>
      <c r="F113" s="7">
        <f>SUMIFS(Лист2!$D:$D,Лист2!$A:$A,Лист1!$A113,Лист2!$B:$B,Лист1!$B113)</f>
        <v>17914</v>
      </c>
      <c r="G113" s="7">
        <f>SUMIFS(Лист2!$E:$E,Лист2!$A:$A,Лист1!$A113,Лист2!$B:$B,Лист1!$B113)</f>
        <v>16631</v>
      </c>
      <c r="H113" s="13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SUMIFS(Лист2!$C:$C,Лист2!$A:$A,Лист1!$A114,Лист2!$B:$B,Лист1!$B114)</f>
        <v>129</v>
      </c>
      <c r="F114" s="7">
        <f>SUMIFS(Лист2!$D:$D,Лист2!$A:$A,Лист1!$A114,Лист2!$B:$B,Лист1!$B114)</f>
        <v>16191</v>
      </c>
      <c r="G114" s="7">
        <f>SUMIFS(Лист2!$E:$E,Лист2!$A:$A,Лист1!$A114,Лист2!$B:$B,Лист1!$B114)</f>
        <v>15102</v>
      </c>
      <c r="H114" s="13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SUMIFS(Лист2!$C:$C,Лист2!$A:$A,Лист1!$A115,Лист2!$B:$B,Лист1!$B115)</f>
        <v>129</v>
      </c>
      <c r="F115" s="7">
        <f>SUMIFS(Лист2!$D:$D,Лист2!$A:$A,Лист1!$A115,Лист2!$B:$B,Лист1!$B115)</f>
        <v>15744</v>
      </c>
      <c r="G115" s="7">
        <f>SUMIFS(Лист2!$E:$E,Лист2!$A:$A,Лист1!$A115,Лист2!$B:$B,Лист1!$B115)</f>
        <v>14685</v>
      </c>
      <c r="H115" s="13">
        <f t="shared" si="2"/>
        <v>206666.12790697673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SUMIFS(Лист2!$C:$C,Лист2!$A:$A,Лист1!$A116,Лист2!$B:$B,Лист1!$B116)</f>
        <v>129</v>
      </c>
      <c r="F116" s="7">
        <f>SUMIFS(Лист2!$D:$D,Лист2!$A:$A,Лист1!$A116,Лист2!$B:$B,Лист1!$B116)</f>
        <v>16420</v>
      </c>
      <c r="G116" s="7">
        <f>SUMIFS(Лист2!$E:$E,Лист2!$A:$A,Лист1!$A116,Лист2!$B:$B,Лист1!$B116)</f>
        <v>15169</v>
      </c>
      <c r="H116" s="13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SUMIFS(Лист2!$C:$C,Лист2!$A:$A,Лист1!$A117,Лист2!$B:$B,Лист1!$B117)</f>
        <v>129</v>
      </c>
      <c r="F117" s="7">
        <f>SUMIFS(Лист2!$D:$D,Лист2!$A:$A,Лист1!$A117,Лист2!$B:$B,Лист1!$B117)</f>
        <v>16525</v>
      </c>
      <c r="G117" s="7">
        <f>SUMIFS(Лист2!$E:$E,Лист2!$A:$A,Лист1!$A117,Лист2!$B:$B,Лист1!$B117)</f>
        <v>15310</v>
      </c>
      <c r="H117" s="13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SUMIFS(Лист2!$C:$C,Лист2!$A:$A,Лист1!$A118,Лист2!$B:$B,Лист1!$B118)</f>
        <v>128</v>
      </c>
      <c r="F118" s="7">
        <f>SUMIFS(Лист2!$D:$D,Лист2!$A:$A,Лист1!$A118,Лист2!$B:$B,Лист1!$B118)</f>
        <v>17368</v>
      </c>
      <c r="G118" s="7">
        <f>SUMIFS(Лист2!$E:$E,Лист2!$A:$A,Лист1!$A118,Лист2!$B:$B,Лист1!$B118)</f>
        <v>16077</v>
      </c>
      <c r="H118" s="13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SUMIFS(Лист2!$C:$C,Лист2!$A:$A,Лист1!$A119,Лист2!$B:$B,Лист1!$B119)</f>
        <v>129</v>
      </c>
      <c r="F119" s="7">
        <f>SUMIFS(Лист2!$D:$D,Лист2!$A:$A,Лист1!$A119,Лист2!$B:$B,Лист1!$B119)</f>
        <v>14009</v>
      </c>
      <c r="G119" s="7">
        <f>SUMIFS(Лист2!$E:$E,Лист2!$A:$A,Лист1!$A119,Лист2!$B:$B,Лист1!$B119)</f>
        <v>12920</v>
      </c>
      <c r="H119" s="13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SUMIFS(Лист2!$C:$C,Лист2!$A:$A,Лист1!$A120,Лист2!$B:$B,Лист1!$B120)</f>
        <v>129</v>
      </c>
      <c r="F120" s="7">
        <f>SUMIFS(Лист2!$D:$D,Лист2!$A:$A,Лист1!$A120,Лист2!$B:$B,Лист1!$B120)</f>
        <v>16459</v>
      </c>
      <c r="G120" s="7">
        <f>SUMIFS(Лист2!$E:$E,Лист2!$A:$A,Лист1!$A120,Лист2!$B:$B,Лист1!$B120)</f>
        <v>15355</v>
      </c>
      <c r="H120" s="13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SUMIFS(Лист2!$C:$C,Лист2!$A:$A,Лист1!$A121,Лист2!$B:$B,Лист1!$B121)</f>
        <v>129</v>
      </c>
      <c r="F121" s="7">
        <f>SUMIFS(Лист2!$D:$D,Лист2!$A:$A,Лист1!$A121,Лист2!$B:$B,Лист1!$B121)</f>
        <v>17002</v>
      </c>
      <c r="G121" s="7">
        <f>SUMIFS(Лист2!$E:$E,Лист2!$A:$A,Лист1!$A121,Лист2!$B:$B,Лист1!$B121)</f>
        <v>15570</v>
      </c>
      <c r="H121" s="13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SUMIFS(Лист2!$C:$C,Лист2!$A:$A,Лист1!$A122,Лист2!$B:$B,Лист1!$B122)</f>
        <v>129</v>
      </c>
      <c r="F122" s="7">
        <f>SUMIFS(Лист2!$D:$D,Лист2!$A:$A,Лист1!$A122,Лист2!$B:$B,Лист1!$B122)</f>
        <v>16387</v>
      </c>
      <c r="G122" s="7">
        <f>SUMIFS(Лист2!$E:$E,Лист2!$A:$A,Лист1!$A122,Лист2!$B:$B,Лист1!$B122)</f>
        <v>15322</v>
      </c>
      <c r="H122" s="13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SUMIFS(Лист2!$C:$C,Лист2!$A:$A,Лист1!$A123,Лист2!$B:$B,Лист1!$B123)</f>
        <v>129</v>
      </c>
      <c r="F123" s="7">
        <f>SUMIFS(Лист2!$D:$D,Лист2!$A:$A,Лист1!$A123,Лист2!$B:$B,Лист1!$B123)</f>
        <v>16373</v>
      </c>
      <c r="G123" s="7">
        <f>SUMIFS(Лист2!$E:$E,Лист2!$A:$A,Лист1!$A123,Лист2!$B:$B,Лист1!$B123)</f>
        <v>15223</v>
      </c>
      <c r="H123" s="13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SUMIFS(Лист2!$C:$C,Лист2!$A:$A,Лист1!$A124,Лист2!$B:$B,Лист1!$B124)</f>
        <v>129</v>
      </c>
      <c r="F124" s="7">
        <f>SUMIFS(Лист2!$D:$D,Лист2!$A:$A,Лист1!$A124,Лист2!$B:$B,Лист1!$B124)</f>
        <v>17095</v>
      </c>
      <c r="G124" s="7">
        <f>SUMIFS(Лист2!$E:$E,Лист2!$A:$A,Лист1!$A124,Лист2!$B:$B,Лист1!$B124)</f>
        <v>15919</v>
      </c>
      <c r="H124" s="13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SUMIFS(Лист2!$C:$C,Лист2!$A:$A,Лист1!$A125,Лист2!$B:$B,Лист1!$B125)</f>
        <v>129</v>
      </c>
      <c r="F125" s="7">
        <f>SUMIFS(Лист2!$D:$D,Лист2!$A:$A,Лист1!$A125,Лист2!$B:$B,Лист1!$B125)</f>
        <v>15665</v>
      </c>
      <c r="G125" s="7">
        <f>SUMIFS(Лист2!$E:$E,Лист2!$A:$A,Лист1!$A125,Лист2!$B:$B,Лист1!$B125)</f>
        <v>14501</v>
      </c>
      <c r="H125" s="13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SUMIFS(Лист2!$C:$C,Лист2!$A:$A,Лист1!$A126,Лист2!$B:$B,Лист1!$B126)</f>
        <v>128</v>
      </c>
      <c r="F126" s="7">
        <f>SUMIFS(Лист2!$D:$D,Лист2!$A:$A,Лист1!$A126,Лист2!$B:$B,Лист1!$B126)</f>
        <v>16450</v>
      </c>
      <c r="G126" s="7">
        <f>SUMIFS(Лист2!$E:$E,Лист2!$A:$A,Лист1!$A126,Лист2!$B:$B,Лист1!$B126)</f>
        <v>15320</v>
      </c>
      <c r="H126" s="13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SUMIFS(Лист2!$C:$C,Лист2!$A:$A,Лист1!$A127,Лист2!$B:$B,Лист1!$B127)</f>
        <v>129</v>
      </c>
      <c r="F127" s="7">
        <f>SUMIFS(Лист2!$D:$D,Лист2!$A:$A,Лист1!$A127,Лист2!$B:$B,Лист1!$B127)</f>
        <v>15304</v>
      </c>
      <c r="G127" s="7">
        <f>SUMIFS(Лист2!$E:$E,Лист2!$A:$A,Лист1!$A127,Лист2!$B:$B,Лист1!$B127)</f>
        <v>14315</v>
      </c>
      <c r="H127" s="13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SUMIFS(Лист2!$C:$C,Лист2!$A:$A,Лист1!$A128,Лист2!$B:$B,Лист1!$B128)</f>
        <v>129</v>
      </c>
      <c r="F128" s="7">
        <f>SUMIFS(Лист2!$D:$D,Лист2!$A:$A,Лист1!$A128,Лист2!$B:$B,Лист1!$B128)</f>
        <v>15778</v>
      </c>
      <c r="G128" s="7">
        <f>SUMIFS(Лист2!$E:$E,Лист2!$A:$A,Лист1!$A128,Лист2!$B:$B,Лист1!$B128)</f>
        <v>14624</v>
      </c>
      <c r="H128" s="13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SUMIFS(Лист2!$C:$C,Лист2!$A:$A,Лист1!$A129,Лист2!$B:$B,Лист1!$B129)</f>
        <v>129</v>
      </c>
      <c r="F129" s="7">
        <f>SUMIFS(Лист2!$D:$D,Лист2!$A:$A,Лист1!$A129,Лист2!$B:$B,Лист1!$B129)</f>
        <v>16376</v>
      </c>
      <c r="G129" s="7">
        <f>SUMIFS(Лист2!$E:$E,Лист2!$A:$A,Лист1!$A129,Лист2!$B:$B,Лист1!$B129)</f>
        <v>15197</v>
      </c>
      <c r="H129" s="13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SUMIFS(Лист2!$C:$C,Лист2!$A:$A,Лист1!$A130,Лист2!$B:$B,Лист1!$B130)</f>
        <v>129</v>
      </c>
      <c r="F130" s="7">
        <f>SUMIFS(Лист2!$D:$D,Лист2!$A:$A,Лист1!$A130,Лист2!$B:$B,Лист1!$B130)</f>
        <v>19856</v>
      </c>
      <c r="G130" s="7">
        <f>SUMIFS(Лист2!$E:$E,Лист2!$A:$A,Лист1!$A130,Лист2!$B:$B,Лист1!$B130)</f>
        <v>18325</v>
      </c>
      <c r="H130" s="13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SUMIFS(Лист2!$C:$C,Лист2!$A:$A,Лист1!$A131,Лист2!$B:$B,Лист1!$B131)</f>
        <v>129</v>
      </c>
      <c r="F131" s="7">
        <f>SUMIFS(Лист2!$D:$D,Лист2!$A:$A,Лист1!$A131,Лист2!$B:$B,Лист1!$B131)</f>
        <v>15822</v>
      </c>
      <c r="G131" s="7">
        <f>SUMIFS(Лист2!$E:$E,Лист2!$A:$A,Лист1!$A131,Лист2!$B:$B,Лист1!$B131)</f>
        <v>14753</v>
      </c>
      <c r="H131" s="13">
        <f t="shared" ref="H131:H194" si="4">D131/E131</f>
        <v>210588.47674418605</v>
      </c>
      <c r="I131">
        <f t="shared" ref="I131:I194" si="5">WEEKNUM(A131,2)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SUMIFS(Лист2!$C:$C,Лист2!$A:$A,Лист1!$A132,Лист2!$B:$B,Лист1!$B132)</f>
        <v>129</v>
      </c>
      <c r="F132" s="7">
        <f>SUMIFS(Лист2!$D:$D,Лист2!$A:$A,Лист1!$A132,Лист2!$B:$B,Лист1!$B132)</f>
        <v>18042</v>
      </c>
      <c r="G132" s="7">
        <f>SUMIFS(Лист2!$E:$E,Лист2!$A:$A,Лист1!$A132,Лист2!$B:$B,Лист1!$B132)</f>
        <v>16631</v>
      </c>
      <c r="H132" s="13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SUMIFS(Лист2!$C:$C,Лист2!$A:$A,Лист1!$A133,Лист2!$B:$B,Лист1!$B133)</f>
        <v>129</v>
      </c>
      <c r="F133" s="7">
        <f>SUMIFS(Лист2!$D:$D,Лист2!$A:$A,Лист1!$A133,Лист2!$B:$B,Лист1!$B133)</f>
        <v>16437</v>
      </c>
      <c r="G133" s="7">
        <f>SUMIFS(Лист2!$E:$E,Лист2!$A:$A,Лист1!$A133,Лист2!$B:$B,Лист1!$B133)</f>
        <v>15285</v>
      </c>
      <c r="H133" s="13">
        <f t="shared" si="4"/>
        <v>228962.6054732558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SUMIFS(Лист2!$C:$C,Лист2!$A:$A,Лист1!$A134,Лист2!$B:$B,Лист1!$B134)</f>
        <v>129</v>
      </c>
      <c r="F134" s="7">
        <f>SUMIFS(Лист2!$D:$D,Лист2!$A:$A,Лист1!$A134,Лист2!$B:$B,Лист1!$B134)</f>
        <v>20452</v>
      </c>
      <c r="G134" s="7">
        <f>SUMIFS(Лист2!$E:$E,Лист2!$A:$A,Лист1!$A134,Лист2!$B:$B,Лист1!$B134)</f>
        <v>18857</v>
      </c>
      <c r="H134" s="13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SUMIFS(Лист2!$C:$C,Лист2!$A:$A,Лист1!$A135,Лист2!$B:$B,Лист1!$B135)</f>
        <v>129</v>
      </c>
      <c r="F135" s="7">
        <f>SUMIFS(Лист2!$D:$D,Лист2!$A:$A,Лист1!$A135,Лист2!$B:$B,Лист1!$B135)</f>
        <v>14582</v>
      </c>
      <c r="G135" s="7">
        <f>SUMIFS(Лист2!$E:$E,Лист2!$A:$A,Лист1!$A135,Лист2!$B:$B,Лист1!$B135)</f>
        <v>13512</v>
      </c>
      <c r="H135" s="13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SUMIFS(Лист2!$C:$C,Лист2!$A:$A,Лист1!$A136,Лист2!$B:$B,Лист1!$B136)</f>
        <v>129</v>
      </c>
      <c r="F136" s="7">
        <f>SUMIFS(Лист2!$D:$D,Лист2!$A:$A,Лист1!$A136,Лист2!$B:$B,Лист1!$B136)</f>
        <v>16432</v>
      </c>
      <c r="G136" s="7">
        <f>SUMIFS(Лист2!$E:$E,Лист2!$A:$A,Лист1!$A136,Лист2!$B:$B,Лист1!$B136)</f>
        <v>15345</v>
      </c>
      <c r="H136" s="13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SUMIFS(Лист2!$C:$C,Лист2!$A:$A,Лист1!$A137,Лист2!$B:$B,Лист1!$B137)</f>
        <v>125</v>
      </c>
      <c r="F137" s="7">
        <f>SUMIFS(Лист2!$D:$D,Лист2!$A:$A,Лист1!$A137,Лист2!$B:$B,Лист1!$B137)</f>
        <v>22291</v>
      </c>
      <c r="G137" s="7">
        <f>SUMIFS(Лист2!$E:$E,Лист2!$A:$A,Лист1!$A137,Лист2!$B:$B,Лист1!$B137)</f>
        <v>20635</v>
      </c>
      <c r="H137" s="13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SUMIFS(Лист2!$C:$C,Лист2!$A:$A,Лист1!$A138,Лист2!$B:$B,Лист1!$B138)</f>
        <v>125</v>
      </c>
      <c r="F138" s="7">
        <f>SUMIFS(Лист2!$D:$D,Лист2!$A:$A,Лист1!$A138,Лист2!$B:$B,Лист1!$B138)</f>
        <v>20771</v>
      </c>
      <c r="G138" s="7">
        <f>SUMIFS(Лист2!$E:$E,Лист2!$A:$A,Лист1!$A138,Лист2!$B:$B,Лист1!$B138)</f>
        <v>19338</v>
      </c>
      <c r="H138" s="13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SUMIFS(Лист2!$C:$C,Лист2!$A:$A,Лист1!$A139,Лист2!$B:$B,Лист1!$B139)</f>
        <v>125</v>
      </c>
      <c r="F139" s="7">
        <f>SUMIFS(Лист2!$D:$D,Лист2!$A:$A,Лист1!$A139,Лист2!$B:$B,Лист1!$B139)</f>
        <v>20079</v>
      </c>
      <c r="G139" s="7">
        <f>SUMIFS(Лист2!$E:$E,Лист2!$A:$A,Лист1!$A139,Лист2!$B:$B,Лист1!$B139)</f>
        <v>18721</v>
      </c>
      <c r="H139" s="13">
        <f t="shared" si="4"/>
        <v>294676.53600000002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SUMIFS(Лист2!$C:$C,Лист2!$A:$A,Лист1!$A140,Лист2!$B:$B,Лист1!$B140)</f>
        <v>125</v>
      </c>
      <c r="F140" s="7">
        <f>SUMIFS(Лист2!$D:$D,Лист2!$A:$A,Лист1!$A140,Лист2!$B:$B,Лист1!$B140)</f>
        <v>20132</v>
      </c>
      <c r="G140" s="7">
        <f>SUMIFS(Лист2!$E:$E,Лист2!$A:$A,Лист1!$A140,Лист2!$B:$B,Лист1!$B140)</f>
        <v>18617</v>
      </c>
      <c r="H140" s="13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SUMIFS(Лист2!$C:$C,Лист2!$A:$A,Лист1!$A141,Лист2!$B:$B,Лист1!$B141)</f>
        <v>125</v>
      </c>
      <c r="F141" s="7">
        <f>SUMIFS(Лист2!$D:$D,Лист2!$A:$A,Лист1!$A141,Лист2!$B:$B,Лист1!$B141)</f>
        <v>20495</v>
      </c>
      <c r="G141" s="7">
        <f>SUMIFS(Лист2!$E:$E,Лист2!$A:$A,Лист1!$A141,Лист2!$B:$B,Лист1!$B141)</f>
        <v>18964</v>
      </c>
      <c r="H141" s="13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SUMIFS(Лист2!$C:$C,Лист2!$A:$A,Лист1!$A142,Лист2!$B:$B,Лист1!$B142)</f>
        <v>125</v>
      </c>
      <c r="F142" s="7">
        <f>SUMIFS(Лист2!$D:$D,Лист2!$A:$A,Лист1!$A142,Лист2!$B:$B,Лист1!$B142)</f>
        <v>21863</v>
      </c>
      <c r="G142" s="7">
        <f>SUMIFS(Лист2!$E:$E,Лист2!$A:$A,Лист1!$A142,Лист2!$B:$B,Лист1!$B142)</f>
        <v>20160</v>
      </c>
      <c r="H142" s="13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SUMIFS(Лист2!$C:$C,Лист2!$A:$A,Лист1!$A143,Лист2!$B:$B,Лист1!$B143)</f>
        <v>125</v>
      </c>
      <c r="F143" s="7">
        <f>SUMIFS(Лист2!$D:$D,Лист2!$A:$A,Лист1!$A143,Лист2!$B:$B,Лист1!$B143)</f>
        <v>16932</v>
      </c>
      <c r="G143" s="7">
        <f>SUMIFS(Лист2!$E:$E,Лист2!$A:$A,Лист1!$A143,Лист2!$B:$B,Лист1!$B143)</f>
        <v>15601</v>
      </c>
      <c r="H143" s="13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SUMIFS(Лист2!$C:$C,Лист2!$A:$A,Лист1!$A144,Лист2!$B:$B,Лист1!$B144)</f>
        <v>124</v>
      </c>
      <c r="F144" s="7">
        <f>SUMIFS(Лист2!$D:$D,Лист2!$A:$A,Лист1!$A144,Лист2!$B:$B,Лист1!$B144)</f>
        <v>21153</v>
      </c>
      <c r="G144" s="7">
        <f>SUMIFS(Лист2!$E:$E,Лист2!$A:$A,Лист1!$A144,Лист2!$B:$B,Лист1!$B144)</f>
        <v>19673</v>
      </c>
      <c r="H144" s="13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SUMIFS(Лист2!$C:$C,Лист2!$A:$A,Лист1!$A145,Лист2!$B:$B,Лист1!$B145)</f>
        <v>125</v>
      </c>
      <c r="F145" s="7">
        <f>SUMIFS(Лист2!$D:$D,Лист2!$A:$A,Лист1!$A145,Лист2!$B:$B,Лист1!$B145)</f>
        <v>20602</v>
      </c>
      <c r="G145" s="7">
        <f>SUMIFS(Лист2!$E:$E,Лист2!$A:$A,Лист1!$A145,Лист2!$B:$B,Лист1!$B145)</f>
        <v>18845</v>
      </c>
      <c r="H145" s="13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SUMIFS(Лист2!$C:$C,Лист2!$A:$A,Лист1!$A146,Лист2!$B:$B,Лист1!$B146)</f>
        <v>125</v>
      </c>
      <c r="F146" s="7">
        <f>SUMIFS(Лист2!$D:$D,Лист2!$A:$A,Лист1!$A146,Лист2!$B:$B,Лист1!$B146)</f>
        <v>21106</v>
      </c>
      <c r="G146" s="7">
        <f>SUMIFS(Лист2!$E:$E,Лист2!$A:$A,Лист1!$A146,Лист2!$B:$B,Лист1!$B146)</f>
        <v>19651</v>
      </c>
      <c r="H146" s="13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SUMIFS(Лист2!$C:$C,Лист2!$A:$A,Лист1!$A147,Лист2!$B:$B,Лист1!$B147)</f>
        <v>125</v>
      </c>
      <c r="F147" s="7">
        <f>SUMIFS(Лист2!$D:$D,Лист2!$A:$A,Лист1!$A147,Лист2!$B:$B,Лист1!$B147)</f>
        <v>20911</v>
      </c>
      <c r="G147" s="7">
        <f>SUMIFS(Лист2!$E:$E,Лист2!$A:$A,Лист1!$A147,Лист2!$B:$B,Лист1!$B147)</f>
        <v>19358</v>
      </c>
      <c r="H147" s="13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SUMIFS(Лист2!$C:$C,Лист2!$A:$A,Лист1!$A148,Лист2!$B:$B,Лист1!$B148)</f>
        <v>125</v>
      </c>
      <c r="F148" s="7">
        <f>SUMIFS(Лист2!$D:$D,Лист2!$A:$A,Лист1!$A148,Лист2!$B:$B,Лист1!$B148)</f>
        <v>21674</v>
      </c>
      <c r="G148" s="7">
        <f>SUMIFS(Лист2!$E:$E,Лист2!$A:$A,Лист1!$A148,Лист2!$B:$B,Лист1!$B148)</f>
        <v>20155</v>
      </c>
      <c r="H148" s="13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SUMIFS(Лист2!$C:$C,Лист2!$A:$A,Лист1!$A149,Лист2!$B:$B,Лист1!$B149)</f>
        <v>125</v>
      </c>
      <c r="F149" s="7">
        <f>SUMIFS(Лист2!$D:$D,Лист2!$A:$A,Лист1!$A149,Лист2!$B:$B,Лист1!$B149)</f>
        <v>18944</v>
      </c>
      <c r="G149" s="7">
        <f>SUMIFS(Лист2!$E:$E,Лист2!$A:$A,Лист1!$A149,Лист2!$B:$B,Лист1!$B149)</f>
        <v>17541</v>
      </c>
      <c r="H149" s="13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SUMIFS(Лист2!$C:$C,Лист2!$A:$A,Лист1!$A150,Лист2!$B:$B,Лист1!$B150)</f>
        <v>125</v>
      </c>
      <c r="F150" s="7">
        <f>SUMIFS(Лист2!$D:$D,Лист2!$A:$A,Лист1!$A150,Лист2!$B:$B,Лист1!$B150)</f>
        <v>20914</v>
      </c>
      <c r="G150" s="7">
        <f>SUMIFS(Лист2!$E:$E,Лист2!$A:$A,Лист1!$A150,Лист2!$B:$B,Лист1!$B150)</f>
        <v>19479</v>
      </c>
      <c r="H150" s="13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SUMIFS(Лист2!$C:$C,Лист2!$A:$A,Лист1!$A151,Лист2!$B:$B,Лист1!$B151)</f>
        <v>125</v>
      </c>
      <c r="F151" s="7">
        <f>SUMIFS(Лист2!$D:$D,Лист2!$A:$A,Лист1!$A151,Лист2!$B:$B,Лист1!$B151)</f>
        <v>19965</v>
      </c>
      <c r="G151" s="7">
        <f>SUMIFS(Лист2!$E:$E,Лист2!$A:$A,Лист1!$A151,Лист2!$B:$B,Лист1!$B151)</f>
        <v>18573</v>
      </c>
      <c r="H151" s="13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SUMIFS(Лист2!$C:$C,Лист2!$A:$A,Лист1!$A152,Лист2!$B:$B,Лист1!$B152)</f>
        <v>129</v>
      </c>
      <c r="F152" s="7">
        <f>SUMIFS(Лист2!$D:$D,Лист2!$A:$A,Лист1!$A152,Лист2!$B:$B,Лист1!$B152)</f>
        <v>17235</v>
      </c>
      <c r="G152" s="7">
        <f>SUMIFS(Лист2!$E:$E,Лист2!$A:$A,Лист1!$A152,Лист2!$B:$B,Лист1!$B152)</f>
        <v>16052</v>
      </c>
      <c r="H152" s="13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SUMIFS(Лист2!$C:$C,Лист2!$A:$A,Лист1!$A153,Лист2!$B:$B,Лист1!$B153)</f>
        <v>125</v>
      </c>
      <c r="F153" s="7">
        <f>SUMIFS(Лист2!$D:$D,Лист2!$A:$A,Лист1!$A153,Лист2!$B:$B,Лист1!$B153)</f>
        <v>18861</v>
      </c>
      <c r="G153" s="7">
        <f>SUMIFS(Лист2!$E:$E,Лист2!$A:$A,Лист1!$A153,Лист2!$B:$B,Лист1!$B153)</f>
        <v>17420</v>
      </c>
      <c r="H153" s="13">
        <f t="shared" si="4"/>
        <v>293055.99599999998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SUMIFS(Лист2!$C:$C,Лист2!$A:$A,Лист1!$A154,Лист2!$B:$B,Лист1!$B154)</f>
        <v>129</v>
      </c>
      <c r="F154" s="7">
        <f>SUMIFS(Лист2!$D:$D,Лист2!$A:$A,Лист1!$A154,Лист2!$B:$B,Лист1!$B154)</f>
        <v>20243</v>
      </c>
      <c r="G154" s="7">
        <f>SUMIFS(Лист2!$E:$E,Лист2!$A:$A,Лист1!$A154,Лист2!$B:$B,Лист1!$B154)</f>
        <v>18711</v>
      </c>
      <c r="H154" s="13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SUMIFS(Лист2!$C:$C,Лист2!$A:$A,Лист1!$A155,Лист2!$B:$B,Лист1!$B155)</f>
        <v>125</v>
      </c>
      <c r="F155" s="7">
        <f>SUMIFS(Лист2!$D:$D,Лист2!$A:$A,Лист1!$A155,Лист2!$B:$B,Лист1!$B155)</f>
        <v>20218</v>
      </c>
      <c r="G155" s="7">
        <f>SUMIFS(Лист2!$E:$E,Лист2!$A:$A,Лист1!$A155,Лист2!$B:$B,Лист1!$B155)</f>
        <v>18647</v>
      </c>
      <c r="H155" s="13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SUMIFS(Лист2!$C:$C,Лист2!$A:$A,Лист1!$A156,Лист2!$B:$B,Лист1!$B156)</f>
        <v>125</v>
      </c>
      <c r="F156" s="7">
        <f>SUMIFS(Лист2!$D:$D,Лист2!$A:$A,Лист1!$A156,Лист2!$B:$B,Лист1!$B156)</f>
        <v>24574</v>
      </c>
      <c r="G156" s="7">
        <f>SUMIFS(Лист2!$E:$E,Лист2!$A:$A,Лист1!$A156,Лист2!$B:$B,Лист1!$B156)</f>
        <v>22609</v>
      </c>
      <c r="H156" s="13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SUMIFS(Лист2!$C:$C,Лист2!$A:$A,Лист1!$A157,Лист2!$B:$B,Лист1!$B157)</f>
        <v>129</v>
      </c>
      <c r="F157" s="7">
        <f>SUMIFS(Лист2!$D:$D,Лист2!$A:$A,Лист1!$A157,Лист2!$B:$B,Лист1!$B157)</f>
        <v>16453</v>
      </c>
      <c r="G157" s="7">
        <f>SUMIFS(Лист2!$E:$E,Лист2!$A:$A,Лист1!$A157,Лист2!$B:$B,Лист1!$B157)</f>
        <v>15289</v>
      </c>
      <c r="H157" s="13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SUMIFS(Лист2!$C:$C,Лист2!$A:$A,Лист1!$A158,Лист2!$B:$B,Лист1!$B158)</f>
        <v>124</v>
      </c>
      <c r="F158" s="7">
        <f>SUMIFS(Лист2!$D:$D,Лист2!$A:$A,Лист1!$A158,Лист2!$B:$B,Лист1!$B158)</f>
        <v>20358</v>
      </c>
      <c r="G158" s="7">
        <f>SUMIFS(Лист2!$E:$E,Лист2!$A:$A,Лист1!$A158,Лист2!$B:$B,Лист1!$B158)</f>
        <v>18890</v>
      </c>
      <c r="H158" s="13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SUMIFS(Лист2!$C:$C,Лист2!$A:$A,Лист1!$A159,Лист2!$B:$B,Лист1!$B159)</f>
        <v>125</v>
      </c>
      <c r="F159" s="7">
        <f>SUMIFS(Лист2!$D:$D,Лист2!$A:$A,Лист1!$A159,Лист2!$B:$B,Лист1!$B159)</f>
        <v>22368</v>
      </c>
      <c r="G159" s="7">
        <f>SUMIFS(Лист2!$E:$E,Лист2!$A:$A,Лист1!$A159,Лист2!$B:$B,Лист1!$B159)</f>
        <v>20625</v>
      </c>
      <c r="H159" s="13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SUMIFS(Лист2!$C:$C,Лист2!$A:$A,Лист1!$A160,Лист2!$B:$B,Лист1!$B160)</f>
        <v>125</v>
      </c>
      <c r="F160" s="7">
        <f>SUMIFS(Лист2!$D:$D,Лист2!$A:$A,Лист1!$A160,Лист2!$B:$B,Лист1!$B160)</f>
        <v>20368</v>
      </c>
      <c r="G160" s="7">
        <f>SUMIFS(Лист2!$E:$E,Лист2!$A:$A,Лист1!$A160,Лист2!$B:$B,Лист1!$B160)</f>
        <v>18884</v>
      </c>
      <c r="H160" s="13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SUMIFS(Лист2!$C:$C,Лист2!$A:$A,Лист1!$A161,Лист2!$B:$B,Лист1!$B161)</f>
        <v>125</v>
      </c>
      <c r="F161" s="7">
        <f>SUMIFS(Лист2!$D:$D,Лист2!$A:$A,Лист1!$A161,Лист2!$B:$B,Лист1!$B161)</f>
        <v>24620</v>
      </c>
      <c r="G161" s="7">
        <f>SUMIFS(Лист2!$E:$E,Лист2!$A:$A,Лист1!$A161,Лист2!$B:$B,Лист1!$B161)</f>
        <v>22641</v>
      </c>
      <c r="H161" s="13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SUMIFS(Лист2!$C:$C,Лист2!$A:$A,Лист1!$A162,Лист2!$B:$B,Лист1!$B162)</f>
        <v>125</v>
      </c>
      <c r="F162" s="7">
        <f>SUMIFS(Лист2!$D:$D,Лист2!$A:$A,Лист1!$A162,Лист2!$B:$B,Лист1!$B162)</f>
        <v>18014</v>
      </c>
      <c r="G162" s="7">
        <f>SUMIFS(Лист2!$E:$E,Лист2!$A:$A,Лист1!$A162,Лист2!$B:$B,Лист1!$B162)</f>
        <v>16675</v>
      </c>
      <c r="H162" s="13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SUMIFS(Лист2!$C:$C,Лист2!$A:$A,Лист1!$A163,Лист2!$B:$B,Лист1!$B163)</f>
        <v>125</v>
      </c>
      <c r="F163" s="7">
        <f>SUMIFS(Лист2!$D:$D,Лист2!$A:$A,Лист1!$A163,Лист2!$B:$B,Лист1!$B163)</f>
        <v>21004</v>
      </c>
      <c r="G163" s="7">
        <f>SUMIFS(Лист2!$E:$E,Лист2!$A:$A,Лист1!$A163,Лист2!$B:$B,Лист1!$B163)</f>
        <v>19556</v>
      </c>
      <c r="H163" s="13">
        <f t="shared" si="4"/>
        <v>305531.05200000003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SUMIFS(Лист2!$C:$C,Лист2!$A:$A,Лист1!$A164,Лист2!$B:$B,Лист1!$B164)</f>
        <v>36</v>
      </c>
      <c r="F164" s="7">
        <f>SUMIFS(Лист2!$D:$D,Лист2!$A:$A,Лист1!$A164,Лист2!$B:$B,Лист1!$B164)</f>
        <v>5286</v>
      </c>
      <c r="G164" s="7">
        <f>SUMIFS(Лист2!$E:$E,Лист2!$A:$A,Лист1!$A164,Лист2!$B:$B,Лист1!$B164)</f>
        <v>4867</v>
      </c>
      <c r="H164" s="13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SUMIFS(Лист2!$C:$C,Лист2!$A:$A,Лист1!$A165,Лист2!$B:$B,Лист1!$B165)</f>
        <v>36</v>
      </c>
      <c r="F165" s="7">
        <f>SUMIFS(Лист2!$D:$D,Лист2!$A:$A,Лист1!$A165,Лист2!$B:$B,Лист1!$B165)</f>
        <v>5094</v>
      </c>
      <c r="G165" s="7">
        <f>SUMIFS(Лист2!$E:$E,Лист2!$A:$A,Лист1!$A165,Лист2!$B:$B,Лист1!$B165)</f>
        <v>4716</v>
      </c>
      <c r="H165" s="13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SUMIFS(Лист2!$C:$C,Лист2!$A:$A,Лист1!$A166,Лист2!$B:$B,Лист1!$B166)</f>
        <v>36</v>
      </c>
      <c r="F166" s="7">
        <f>SUMIFS(Лист2!$D:$D,Лист2!$A:$A,Лист1!$A166,Лист2!$B:$B,Лист1!$B166)</f>
        <v>4918</v>
      </c>
      <c r="G166" s="7">
        <f>SUMIFS(Лист2!$E:$E,Лист2!$A:$A,Лист1!$A166,Лист2!$B:$B,Лист1!$B166)</f>
        <v>4554</v>
      </c>
      <c r="H166" s="13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SUMIFS(Лист2!$C:$C,Лист2!$A:$A,Лист1!$A167,Лист2!$B:$B,Лист1!$B167)</f>
        <v>36</v>
      </c>
      <c r="F167" s="7">
        <f>SUMIFS(Лист2!$D:$D,Лист2!$A:$A,Лист1!$A167,Лист2!$B:$B,Лист1!$B167)</f>
        <v>5413</v>
      </c>
      <c r="G167" s="7">
        <f>SUMIFS(Лист2!$E:$E,Лист2!$A:$A,Лист1!$A167,Лист2!$B:$B,Лист1!$B167)</f>
        <v>4959</v>
      </c>
      <c r="H167" s="13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SUMIFS(Лист2!$C:$C,Лист2!$A:$A,Лист1!$A168,Лист2!$B:$B,Лист1!$B168)</f>
        <v>36</v>
      </c>
      <c r="F168" s="7">
        <f>SUMIFS(Лист2!$D:$D,Лист2!$A:$A,Лист1!$A168,Лист2!$B:$B,Лист1!$B168)</f>
        <v>4508</v>
      </c>
      <c r="G168" s="7">
        <f>SUMIFS(Лист2!$E:$E,Лист2!$A:$A,Лист1!$A168,Лист2!$B:$B,Лист1!$B168)</f>
        <v>4149</v>
      </c>
      <c r="H168" s="13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SUMIFS(Лист2!$C:$C,Лист2!$A:$A,Лист1!$A169,Лист2!$B:$B,Лист1!$B169)</f>
        <v>36</v>
      </c>
      <c r="F169" s="7">
        <f>SUMIFS(Лист2!$D:$D,Лист2!$A:$A,Лист1!$A169,Лист2!$B:$B,Лист1!$B169)</f>
        <v>4937</v>
      </c>
      <c r="G169" s="7">
        <f>SUMIFS(Лист2!$E:$E,Лист2!$A:$A,Лист1!$A169,Лист2!$B:$B,Лист1!$B169)</f>
        <v>4561</v>
      </c>
      <c r="H169" s="13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SUMIFS(Лист2!$C:$C,Лист2!$A:$A,Лист1!$A170,Лист2!$B:$B,Лист1!$B170)</f>
        <v>36</v>
      </c>
      <c r="F170" s="7">
        <f>SUMIFS(Лист2!$D:$D,Лист2!$A:$A,Лист1!$A170,Лист2!$B:$B,Лист1!$B170)</f>
        <v>3442</v>
      </c>
      <c r="G170" s="7">
        <f>SUMIFS(Лист2!$E:$E,Лист2!$A:$A,Лист1!$A170,Лист2!$B:$B,Лист1!$B170)</f>
        <v>3147</v>
      </c>
      <c r="H170" s="13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SUMIFS(Лист2!$C:$C,Лист2!$A:$A,Лист1!$A171,Лист2!$B:$B,Лист1!$B171)</f>
        <v>36</v>
      </c>
      <c r="F171" s="7">
        <f>SUMIFS(Лист2!$D:$D,Лист2!$A:$A,Лист1!$A171,Лист2!$B:$B,Лист1!$B171)</f>
        <v>4770</v>
      </c>
      <c r="G171" s="7">
        <f>SUMIFS(Лист2!$E:$E,Лист2!$A:$A,Лист1!$A171,Лист2!$B:$B,Лист1!$B171)</f>
        <v>4424</v>
      </c>
      <c r="H171" s="13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SUMIFS(Лист2!$C:$C,Лист2!$A:$A,Лист1!$A172,Лист2!$B:$B,Лист1!$B172)</f>
        <v>36</v>
      </c>
      <c r="F172" s="7">
        <f>SUMIFS(Лист2!$D:$D,Лист2!$A:$A,Лист1!$A172,Лист2!$B:$B,Лист1!$B172)</f>
        <v>5457</v>
      </c>
      <c r="G172" s="7">
        <f>SUMIFS(Лист2!$E:$E,Лист2!$A:$A,Лист1!$A172,Лист2!$B:$B,Лист1!$B172)</f>
        <v>4916</v>
      </c>
      <c r="H172" s="13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SUMIFS(Лист2!$C:$C,Лист2!$A:$A,Лист1!$A173,Лист2!$B:$B,Лист1!$B173)</f>
        <v>36</v>
      </c>
      <c r="F173" s="7">
        <f>SUMIFS(Лист2!$D:$D,Лист2!$A:$A,Лист1!$A173,Лист2!$B:$B,Лист1!$B173)</f>
        <v>4418</v>
      </c>
      <c r="G173" s="7">
        <f>SUMIFS(Лист2!$E:$E,Лист2!$A:$A,Лист1!$A173,Лист2!$B:$B,Лист1!$B173)</f>
        <v>4088</v>
      </c>
      <c r="H173" s="1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SUMIFS(Лист2!$C:$C,Лист2!$A:$A,Лист1!$A174,Лист2!$B:$B,Лист1!$B174)</f>
        <v>36</v>
      </c>
      <c r="F174" s="7">
        <f>SUMIFS(Лист2!$D:$D,Лист2!$A:$A,Лист1!$A174,Лист2!$B:$B,Лист1!$B174)</f>
        <v>4816</v>
      </c>
      <c r="G174" s="7">
        <f>SUMIFS(Лист2!$E:$E,Лист2!$A:$A,Лист1!$A174,Лист2!$B:$B,Лист1!$B174)</f>
        <v>4452</v>
      </c>
      <c r="H174" s="13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SUMIFS(Лист2!$C:$C,Лист2!$A:$A,Лист1!$A175,Лист2!$B:$B,Лист1!$B175)</f>
        <v>36</v>
      </c>
      <c r="F175" s="7">
        <f>SUMIFS(Лист2!$D:$D,Лист2!$A:$A,Лист1!$A175,Лист2!$B:$B,Лист1!$B175)</f>
        <v>5914</v>
      </c>
      <c r="G175" s="7">
        <f>SUMIFS(Лист2!$E:$E,Лист2!$A:$A,Лист1!$A175,Лист2!$B:$B,Лист1!$B175)</f>
        <v>5384</v>
      </c>
      <c r="H175" s="13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SUMIFS(Лист2!$C:$C,Лист2!$A:$A,Лист1!$A176,Лист2!$B:$B,Лист1!$B176)</f>
        <v>36</v>
      </c>
      <c r="F176" s="7">
        <f>SUMIFS(Лист2!$D:$D,Лист2!$A:$A,Лист1!$A176,Лист2!$B:$B,Лист1!$B176)</f>
        <v>4575</v>
      </c>
      <c r="G176" s="7">
        <f>SUMIFS(Лист2!$E:$E,Лист2!$A:$A,Лист1!$A176,Лист2!$B:$B,Лист1!$B176)</f>
        <v>4206</v>
      </c>
      <c r="H176" s="13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SUMIFS(Лист2!$C:$C,Лист2!$A:$A,Лист1!$A177,Лист2!$B:$B,Лист1!$B177)</f>
        <v>36</v>
      </c>
      <c r="F177" s="7">
        <f>SUMIFS(Лист2!$D:$D,Лист2!$A:$A,Лист1!$A177,Лист2!$B:$B,Лист1!$B177)</f>
        <v>4923</v>
      </c>
      <c r="G177" s="7">
        <f>SUMIFS(Лист2!$E:$E,Лист2!$A:$A,Лист1!$A177,Лист2!$B:$B,Лист1!$B177)</f>
        <v>4560</v>
      </c>
      <c r="H177" s="13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SUMIFS(Лист2!$C:$C,Лист2!$A:$A,Лист1!$A178,Лист2!$B:$B,Лист1!$B178)</f>
        <v>36</v>
      </c>
      <c r="F178" s="7">
        <f>SUMIFS(Лист2!$D:$D,Лист2!$A:$A,Лист1!$A178,Лист2!$B:$B,Лист1!$B178)</f>
        <v>4967</v>
      </c>
      <c r="G178" s="7">
        <f>SUMIFS(Лист2!$E:$E,Лист2!$A:$A,Лист1!$A178,Лист2!$B:$B,Лист1!$B178)</f>
        <v>4583</v>
      </c>
      <c r="H178" s="13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SUMIFS(Лист2!$C:$C,Лист2!$A:$A,Лист1!$A179,Лист2!$B:$B,Лист1!$B179)</f>
        <v>124</v>
      </c>
      <c r="F179" s="7">
        <f>SUMIFS(Лист2!$D:$D,Лист2!$A:$A,Лист1!$A179,Лист2!$B:$B,Лист1!$B179)</f>
        <v>21392</v>
      </c>
      <c r="G179" s="7">
        <f>SUMIFS(Лист2!$E:$E,Лист2!$A:$A,Лист1!$A179,Лист2!$B:$B,Лист1!$B179)</f>
        <v>19869</v>
      </c>
      <c r="H179" s="13">
        <f t="shared" si="4"/>
        <v>317582.08064516127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SUMIFS(Лист2!$C:$C,Лист2!$A:$A,Лист1!$A180,Лист2!$B:$B,Лист1!$B180)</f>
        <v>36</v>
      </c>
      <c r="F180" s="7">
        <f>SUMIFS(Лист2!$D:$D,Лист2!$A:$A,Лист1!$A180,Лист2!$B:$B,Лист1!$B180)</f>
        <v>4751</v>
      </c>
      <c r="G180" s="7">
        <f>SUMIFS(Лист2!$E:$E,Лист2!$A:$A,Лист1!$A180,Лист2!$B:$B,Лист1!$B180)</f>
        <v>4370</v>
      </c>
      <c r="H180" s="13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SUMIFS(Лист2!$C:$C,Лист2!$A:$A,Лист1!$A181,Лист2!$B:$B,Лист1!$B181)</f>
        <v>124</v>
      </c>
      <c r="F181" s="7">
        <f>SUMIFS(Лист2!$D:$D,Лист2!$A:$A,Лист1!$A181,Лист2!$B:$B,Лист1!$B181)</f>
        <v>24325</v>
      </c>
      <c r="G181" s="7">
        <f>SUMIFS(Лист2!$E:$E,Лист2!$A:$A,Лист1!$A181,Лист2!$B:$B,Лист1!$B181)</f>
        <v>22469</v>
      </c>
      <c r="H181" s="13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SUMIFS(Лист2!$C:$C,Лист2!$A:$A,Лист1!$A182,Лист2!$B:$B,Лист1!$B182)</f>
        <v>36</v>
      </c>
      <c r="F182" s="7">
        <f>SUMIFS(Лист2!$D:$D,Лист2!$A:$A,Лист1!$A182,Лист2!$B:$B,Лист1!$B182)</f>
        <v>4384</v>
      </c>
      <c r="G182" s="7">
        <f>SUMIFS(Лист2!$E:$E,Лист2!$A:$A,Лист1!$A182,Лист2!$B:$B,Лист1!$B182)</f>
        <v>4025</v>
      </c>
      <c r="H182" s="13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SUMIFS(Лист2!$C:$C,Лист2!$A:$A,Лист1!$A183,Лист2!$B:$B,Лист1!$B183)</f>
        <v>36</v>
      </c>
      <c r="F183" s="7">
        <f>SUMIFS(Лист2!$D:$D,Лист2!$A:$A,Лист1!$A183,Лист2!$B:$B,Лист1!$B183)</f>
        <v>5651</v>
      </c>
      <c r="G183" s="7">
        <f>SUMIFS(Лист2!$E:$E,Лист2!$A:$A,Лист1!$A183,Лист2!$B:$B,Лист1!$B183)</f>
        <v>5212</v>
      </c>
      <c r="H183" s="1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SUMIFS(Лист2!$C:$C,Лист2!$A:$A,Лист1!$A184,Лист2!$B:$B,Лист1!$B184)</f>
        <v>124</v>
      </c>
      <c r="F184" s="7">
        <f>SUMIFS(Лист2!$D:$D,Лист2!$A:$A,Лист1!$A184,Лист2!$B:$B,Лист1!$B184)</f>
        <v>20868</v>
      </c>
      <c r="G184" s="7">
        <f>SUMIFS(Лист2!$E:$E,Лист2!$A:$A,Лист1!$A184,Лист2!$B:$B,Лист1!$B184)</f>
        <v>19342</v>
      </c>
      <c r="H184" s="13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SUMIFS(Лист2!$C:$C,Лист2!$A:$A,Лист1!$A185,Лист2!$B:$B,Лист1!$B185)</f>
        <v>36</v>
      </c>
      <c r="F185" s="7">
        <f>SUMIFS(Лист2!$D:$D,Лист2!$A:$A,Лист1!$A185,Лист2!$B:$B,Лист1!$B185)</f>
        <v>4641</v>
      </c>
      <c r="G185" s="7">
        <f>SUMIFS(Лист2!$E:$E,Лист2!$A:$A,Лист1!$A185,Лист2!$B:$B,Лист1!$B185)</f>
        <v>4274</v>
      </c>
      <c r="H185" s="13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SUMIFS(Лист2!$C:$C,Лист2!$A:$A,Лист1!$A186,Лист2!$B:$B,Лист1!$B186)</f>
        <v>36</v>
      </c>
      <c r="F186" s="7">
        <f>SUMIFS(Лист2!$D:$D,Лист2!$A:$A,Лист1!$A186,Лист2!$B:$B,Лист1!$B186)</f>
        <v>5143</v>
      </c>
      <c r="G186" s="7">
        <f>SUMIFS(Лист2!$E:$E,Лист2!$A:$A,Лист1!$A186,Лист2!$B:$B,Лист1!$B186)</f>
        <v>4715</v>
      </c>
      <c r="H186" s="13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SUMIFS(Лист2!$C:$C,Лист2!$A:$A,Лист1!$A187,Лист2!$B:$B,Лист1!$B187)</f>
        <v>36</v>
      </c>
      <c r="F187" s="7">
        <f>SUMIFS(Лист2!$D:$D,Лист2!$A:$A,Лист1!$A187,Лист2!$B:$B,Лист1!$B187)</f>
        <v>5746</v>
      </c>
      <c r="G187" s="7">
        <f>SUMIFS(Лист2!$E:$E,Лист2!$A:$A,Лист1!$A187,Лист2!$B:$B,Лист1!$B187)</f>
        <v>5277</v>
      </c>
      <c r="H187" s="13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SUMIFS(Лист2!$C:$C,Лист2!$A:$A,Лист1!$A188,Лист2!$B:$B,Лист1!$B188)</f>
        <v>36</v>
      </c>
      <c r="F188" s="7">
        <f>SUMIFS(Лист2!$D:$D,Лист2!$A:$A,Лист1!$A188,Лист2!$B:$B,Лист1!$B188)</f>
        <v>4199</v>
      </c>
      <c r="G188" s="7">
        <f>SUMIFS(Лист2!$E:$E,Лист2!$A:$A,Лист1!$A188,Лист2!$B:$B,Лист1!$B188)</f>
        <v>3867</v>
      </c>
      <c r="H188" s="13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SUMIFS(Лист2!$C:$C,Лист2!$A:$A,Лист1!$A189,Лист2!$B:$B,Лист1!$B189)</f>
        <v>36</v>
      </c>
      <c r="F189" s="7">
        <f>SUMIFS(Лист2!$D:$D,Лист2!$A:$A,Лист1!$A189,Лист2!$B:$B,Лист1!$B189)</f>
        <v>4826</v>
      </c>
      <c r="G189" s="7">
        <f>SUMIFS(Лист2!$E:$E,Лист2!$A:$A,Лист1!$A189,Лист2!$B:$B,Лист1!$B189)</f>
        <v>4426</v>
      </c>
      <c r="H189" s="13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SUMIFS(Лист2!$C:$C,Лист2!$A:$A,Лист1!$A190,Лист2!$B:$B,Лист1!$B190)</f>
        <v>36</v>
      </c>
      <c r="F190" s="7">
        <f>SUMIFS(Лист2!$D:$D,Лист2!$A:$A,Лист1!$A190,Лист2!$B:$B,Лист1!$B190)</f>
        <v>4915</v>
      </c>
      <c r="G190" s="7">
        <f>SUMIFS(Лист2!$E:$E,Лист2!$A:$A,Лист1!$A190,Лист2!$B:$B,Лист1!$B190)</f>
        <v>4562</v>
      </c>
      <c r="H190" s="13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SUMIFS(Лист2!$C:$C,Лист2!$A:$A,Лист1!$A191,Лист2!$B:$B,Лист1!$B191)</f>
        <v>21</v>
      </c>
      <c r="F191" s="7">
        <f>SUMIFS(Лист2!$D:$D,Лист2!$A:$A,Лист1!$A191,Лист2!$B:$B,Лист1!$B191)</f>
        <v>2427</v>
      </c>
      <c r="G191" s="7">
        <f>SUMIFS(Лист2!$E:$E,Лист2!$A:$A,Лист1!$A191,Лист2!$B:$B,Лист1!$B191)</f>
        <v>2213</v>
      </c>
      <c r="H191" s="13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SUMIFS(Лист2!$C:$C,Лист2!$A:$A,Лист1!$A192,Лист2!$B:$B,Лист1!$B192)</f>
        <v>21</v>
      </c>
      <c r="F192" s="7">
        <f>SUMIFS(Лист2!$D:$D,Лист2!$A:$A,Лист1!$A192,Лист2!$B:$B,Лист1!$B192)</f>
        <v>2245</v>
      </c>
      <c r="G192" s="7">
        <f>SUMIFS(Лист2!$E:$E,Лист2!$A:$A,Лист1!$A192,Лист2!$B:$B,Лист1!$B192)</f>
        <v>2053</v>
      </c>
      <c r="H192" s="13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SUMIFS(Лист2!$C:$C,Лист2!$A:$A,Лист1!$A193,Лист2!$B:$B,Лист1!$B193)</f>
        <v>21</v>
      </c>
      <c r="F193" s="7">
        <f>SUMIFS(Лист2!$D:$D,Лист2!$A:$A,Лист1!$A193,Лист2!$B:$B,Лист1!$B193)</f>
        <v>2054</v>
      </c>
      <c r="G193" s="7">
        <f>SUMIFS(Лист2!$E:$E,Лист2!$A:$A,Лист1!$A193,Лист2!$B:$B,Лист1!$B193)</f>
        <v>1883</v>
      </c>
      <c r="H193" s="13">
        <f t="shared" si="4"/>
        <v>151959.78571428571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SUMIFS(Лист2!$C:$C,Лист2!$A:$A,Лист1!$A194,Лист2!$B:$B,Лист1!$B194)</f>
        <v>21</v>
      </c>
      <c r="F194" s="7">
        <f>SUMIFS(Лист2!$D:$D,Лист2!$A:$A,Лист1!$A194,Лист2!$B:$B,Лист1!$B194)</f>
        <v>1891</v>
      </c>
      <c r="G194" s="7">
        <f>SUMIFS(Лист2!$E:$E,Лист2!$A:$A,Лист1!$A194,Лист2!$B:$B,Лист1!$B194)</f>
        <v>1709</v>
      </c>
      <c r="H194" s="13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SUMIFS(Лист2!$C:$C,Лист2!$A:$A,Лист1!$A195,Лист2!$B:$B,Лист1!$B195)</f>
        <v>20</v>
      </c>
      <c r="F195" s="7">
        <f>SUMIFS(Лист2!$D:$D,Лист2!$A:$A,Лист1!$A195,Лист2!$B:$B,Лист1!$B195)</f>
        <v>1804</v>
      </c>
      <c r="G195" s="7">
        <f>SUMIFS(Лист2!$E:$E,Лист2!$A:$A,Лист1!$A195,Лист2!$B:$B,Лист1!$B195)</f>
        <v>1638</v>
      </c>
      <c r="H195" s="13">
        <f t="shared" ref="H195:H258" si="6">D195/E195</f>
        <v>140892.67499999999</v>
      </c>
      <c r="I195">
        <f t="shared" ref="I195:I258" si="7">WEEKNUM(A195,2)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SUMIFS(Лист2!$C:$C,Лист2!$A:$A,Лист1!$A196,Лист2!$B:$B,Лист1!$B196)</f>
        <v>19</v>
      </c>
      <c r="F196" s="7">
        <f>SUMIFS(Лист2!$D:$D,Лист2!$A:$A,Лист1!$A196,Лист2!$B:$B,Лист1!$B196)</f>
        <v>1676</v>
      </c>
      <c r="G196" s="7">
        <f>SUMIFS(Лист2!$E:$E,Лист2!$A:$A,Лист1!$A196,Лист2!$B:$B,Лист1!$B196)</f>
        <v>1516</v>
      </c>
      <c r="H196" s="13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SUMIFS(Лист2!$C:$C,Лист2!$A:$A,Лист1!$A197,Лист2!$B:$B,Лист1!$B197)</f>
        <v>20</v>
      </c>
      <c r="F197" s="7">
        <f>SUMIFS(Лист2!$D:$D,Лист2!$A:$A,Лист1!$A197,Лист2!$B:$B,Лист1!$B197)</f>
        <v>1613</v>
      </c>
      <c r="G197" s="7">
        <f>SUMIFS(Лист2!$E:$E,Лист2!$A:$A,Лист1!$A197,Лист2!$B:$B,Лист1!$B197)</f>
        <v>1457</v>
      </c>
      <c r="H197" s="13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SUMIFS(Лист2!$C:$C,Лист2!$A:$A,Лист1!$A198,Лист2!$B:$B,Лист1!$B198)</f>
        <v>21</v>
      </c>
      <c r="F198" s="7">
        <f>SUMIFS(Лист2!$D:$D,Лист2!$A:$A,Лист1!$A198,Лист2!$B:$B,Лист1!$B198)</f>
        <v>2418</v>
      </c>
      <c r="G198" s="7">
        <f>SUMIFS(Лист2!$E:$E,Лист2!$A:$A,Лист1!$A198,Лист2!$B:$B,Лист1!$B198)</f>
        <v>2215</v>
      </c>
      <c r="H198" s="13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SUMIFS(Лист2!$C:$C,Лист2!$A:$A,Лист1!$A199,Лист2!$B:$B,Лист1!$B199)</f>
        <v>20</v>
      </c>
      <c r="F199" s="7">
        <f>SUMIFS(Лист2!$D:$D,Лист2!$A:$A,Лист1!$A199,Лист2!$B:$B,Лист1!$B199)</f>
        <v>2468</v>
      </c>
      <c r="G199" s="7">
        <f>SUMIFS(Лист2!$E:$E,Лист2!$A:$A,Лист1!$A199,Лист2!$B:$B,Лист1!$B199)</f>
        <v>2221</v>
      </c>
      <c r="H199" s="13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SUMIFS(Лист2!$C:$C,Лист2!$A:$A,Лист1!$A200,Лист2!$B:$B,Лист1!$B200)</f>
        <v>21</v>
      </c>
      <c r="F200" s="7">
        <f>SUMIFS(Лист2!$D:$D,Лист2!$A:$A,Лист1!$A200,Лист2!$B:$B,Лист1!$B200)</f>
        <v>1926</v>
      </c>
      <c r="G200" s="7">
        <f>SUMIFS(Лист2!$E:$E,Лист2!$A:$A,Лист1!$A200,Лист2!$B:$B,Лист1!$B200)</f>
        <v>1745</v>
      </c>
      <c r="H200" s="13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SUMIFS(Лист2!$C:$C,Лист2!$A:$A,Лист1!$A201,Лист2!$B:$B,Лист1!$B201)</f>
        <v>21</v>
      </c>
      <c r="F201" s="7">
        <f>SUMIFS(Лист2!$D:$D,Лист2!$A:$A,Лист1!$A201,Лист2!$B:$B,Лист1!$B201)</f>
        <v>2335</v>
      </c>
      <c r="G201" s="7">
        <f>SUMIFS(Лист2!$E:$E,Лист2!$A:$A,Лист1!$A201,Лист2!$B:$B,Лист1!$B201)</f>
        <v>2126</v>
      </c>
      <c r="H201" s="13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SUMIFS(Лист2!$C:$C,Лист2!$A:$A,Лист1!$A202,Лист2!$B:$B,Лист1!$B202)</f>
        <v>21</v>
      </c>
      <c r="F202" s="7">
        <f>SUMIFS(Лист2!$D:$D,Лист2!$A:$A,Лист1!$A202,Лист2!$B:$B,Лист1!$B202)</f>
        <v>2410</v>
      </c>
      <c r="G202" s="7">
        <f>SUMIFS(Лист2!$E:$E,Лист2!$A:$A,Лист1!$A202,Лист2!$B:$B,Лист1!$B202)</f>
        <v>2202</v>
      </c>
      <c r="H202" s="13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SUMIFS(Лист2!$C:$C,Лист2!$A:$A,Лист1!$A203,Лист2!$B:$B,Лист1!$B203)</f>
        <v>20</v>
      </c>
      <c r="F203" s="7">
        <f>SUMIFS(Лист2!$D:$D,Лист2!$A:$A,Лист1!$A203,Лист2!$B:$B,Лист1!$B203)</f>
        <v>1757</v>
      </c>
      <c r="G203" s="7">
        <f>SUMIFS(Лист2!$E:$E,Лист2!$A:$A,Лист1!$A203,Лист2!$B:$B,Лист1!$B203)</f>
        <v>1596</v>
      </c>
      <c r="H203" s="13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SUMIFS(Лист2!$C:$C,Лист2!$A:$A,Лист1!$A204,Лист2!$B:$B,Лист1!$B204)</f>
        <v>19</v>
      </c>
      <c r="F204" s="7">
        <f>SUMIFS(Лист2!$D:$D,Лист2!$A:$A,Лист1!$A204,Лист2!$B:$B,Лист1!$B204)</f>
        <v>1846</v>
      </c>
      <c r="G204" s="7">
        <f>SUMIFS(Лист2!$E:$E,Лист2!$A:$A,Лист1!$A204,Лист2!$B:$B,Лист1!$B204)</f>
        <v>1681</v>
      </c>
      <c r="H204" s="13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SUMIFS(Лист2!$C:$C,Лист2!$A:$A,Лист1!$A205,Лист2!$B:$B,Лист1!$B205)</f>
        <v>21</v>
      </c>
      <c r="F205" s="7">
        <f>SUMIFS(Лист2!$D:$D,Лист2!$A:$A,Лист1!$A205,Лист2!$B:$B,Лист1!$B205)</f>
        <v>2061</v>
      </c>
      <c r="G205" s="7">
        <f>SUMIFS(Лист2!$E:$E,Лист2!$A:$A,Лист1!$A205,Лист2!$B:$B,Лист1!$B205)</f>
        <v>1876</v>
      </c>
      <c r="H205" s="13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SUMIFS(Лист2!$C:$C,Лист2!$A:$A,Лист1!$A206,Лист2!$B:$B,Лист1!$B206)</f>
        <v>37</v>
      </c>
      <c r="F206" s="7">
        <f>SUMIFS(Лист2!$D:$D,Лист2!$A:$A,Лист1!$A206,Лист2!$B:$B,Лист1!$B206)</f>
        <v>5215</v>
      </c>
      <c r="G206" s="7">
        <f>SUMIFS(Лист2!$E:$E,Лист2!$A:$A,Лист1!$A206,Лист2!$B:$B,Лист1!$B206)</f>
        <v>4848</v>
      </c>
      <c r="H206" s="13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SUMIFS(Лист2!$C:$C,Лист2!$A:$A,Лист1!$A207,Лист2!$B:$B,Лист1!$B207)</f>
        <v>20</v>
      </c>
      <c r="F207" s="7">
        <f>SUMIFS(Лист2!$D:$D,Лист2!$A:$A,Лист1!$A207,Лист2!$B:$B,Лист1!$B207)</f>
        <v>1716</v>
      </c>
      <c r="G207" s="7">
        <f>SUMIFS(Лист2!$E:$E,Лист2!$A:$A,Лист1!$A207,Лист2!$B:$B,Лист1!$B207)</f>
        <v>1561</v>
      </c>
      <c r="H207" s="13">
        <f t="shared" si="6"/>
        <v>136000.125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SUMIFS(Лист2!$C:$C,Лист2!$A:$A,Лист1!$A208,Лист2!$B:$B,Лист1!$B208)</f>
        <v>37</v>
      </c>
      <c r="F208" s="7">
        <f>SUMIFS(Лист2!$D:$D,Лист2!$A:$A,Лист1!$A208,Лист2!$B:$B,Лист1!$B208)</f>
        <v>6645</v>
      </c>
      <c r="G208" s="7">
        <f>SUMIFS(Лист2!$E:$E,Лист2!$A:$A,Лист1!$A208,Лист2!$B:$B,Лист1!$B208)</f>
        <v>6122</v>
      </c>
      <c r="H208" s="13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SUMIFS(Лист2!$C:$C,Лист2!$A:$A,Лист1!$A209,Лист2!$B:$B,Лист1!$B209)</f>
        <v>20</v>
      </c>
      <c r="F209" s="7">
        <f>SUMIFS(Лист2!$D:$D,Лист2!$A:$A,Лист1!$A209,Лист2!$B:$B,Лист1!$B209)</f>
        <v>1747</v>
      </c>
      <c r="G209" s="7">
        <f>SUMIFS(Лист2!$E:$E,Лист2!$A:$A,Лист1!$A209,Лист2!$B:$B,Лист1!$B209)</f>
        <v>1570</v>
      </c>
      <c r="H209" s="13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SUMIFS(Лист2!$C:$C,Лист2!$A:$A,Лист1!$A210,Лист2!$B:$B,Лист1!$B210)</f>
        <v>21</v>
      </c>
      <c r="F210" s="7">
        <f>SUMIFS(Лист2!$D:$D,Лист2!$A:$A,Лист1!$A210,Лист2!$B:$B,Лист1!$B210)</f>
        <v>2460</v>
      </c>
      <c r="G210" s="7">
        <f>SUMIFS(Лист2!$E:$E,Лист2!$A:$A,Лист1!$A210,Лист2!$B:$B,Лист1!$B210)</f>
        <v>2226</v>
      </c>
      <c r="H210" s="13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SUMIFS(Лист2!$C:$C,Лист2!$A:$A,Лист1!$A211,Лист2!$B:$B,Лист1!$B211)</f>
        <v>37</v>
      </c>
      <c r="F211" s="7">
        <f>SUMIFS(Лист2!$D:$D,Лист2!$A:$A,Лист1!$A211,Лист2!$B:$B,Лист1!$B211)</f>
        <v>4840</v>
      </c>
      <c r="G211" s="7">
        <f>SUMIFS(Лист2!$E:$E,Лист2!$A:$A,Лист1!$A211,Лист2!$B:$B,Лист1!$B211)</f>
        <v>4475</v>
      </c>
      <c r="H211" s="13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SUMIFS(Лист2!$C:$C,Лист2!$A:$A,Лист1!$A212,Лист2!$B:$B,Лист1!$B212)</f>
        <v>21</v>
      </c>
      <c r="F212" s="7">
        <f>SUMIFS(Лист2!$D:$D,Лист2!$A:$A,Лист1!$A212,Лист2!$B:$B,Лист1!$B212)</f>
        <v>2330</v>
      </c>
      <c r="G212" s="7">
        <f>SUMIFS(Лист2!$E:$E,Лист2!$A:$A,Лист1!$A212,Лист2!$B:$B,Лист1!$B212)</f>
        <v>2142</v>
      </c>
      <c r="H212" s="13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SUMIFS(Лист2!$C:$C,Лист2!$A:$A,Лист1!$A213,Лист2!$B:$B,Лист1!$B213)</f>
        <v>20</v>
      </c>
      <c r="F213" s="7">
        <f>SUMIFS(Лист2!$D:$D,Лист2!$A:$A,Лист1!$A213,Лист2!$B:$B,Лист1!$B213)</f>
        <v>1756</v>
      </c>
      <c r="G213" s="7">
        <f>SUMIFS(Лист2!$E:$E,Лист2!$A:$A,Лист1!$A213,Лист2!$B:$B,Лист1!$B213)</f>
        <v>1586</v>
      </c>
      <c r="H213" s="13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SUMIFS(Лист2!$C:$C,Лист2!$A:$A,Лист1!$A214,Лист2!$B:$B,Лист1!$B214)</f>
        <v>21</v>
      </c>
      <c r="F214" s="7">
        <f>SUMIFS(Лист2!$D:$D,Лист2!$A:$A,Лист1!$A214,Лист2!$B:$B,Лист1!$B214)</f>
        <v>2120</v>
      </c>
      <c r="G214" s="7">
        <f>SUMIFS(Лист2!$E:$E,Лист2!$A:$A,Лист1!$A214,Лист2!$B:$B,Лист1!$B214)</f>
        <v>1921</v>
      </c>
      <c r="H214" s="13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SUMIFS(Лист2!$C:$C,Лист2!$A:$A,Лист1!$A215,Лист2!$B:$B,Лист1!$B215)</f>
        <v>21</v>
      </c>
      <c r="F215" s="7">
        <f>SUMIFS(Лист2!$D:$D,Лист2!$A:$A,Лист1!$A215,Лист2!$B:$B,Лист1!$B215)</f>
        <v>1957</v>
      </c>
      <c r="G215" s="7">
        <f>SUMIFS(Лист2!$E:$E,Лист2!$A:$A,Лист1!$A215,Лист2!$B:$B,Лист1!$B215)</f>
        <v>1755</v>
      </c>
      <c r="H215" s="13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SUMIFS(Лист2!$C:$C,Лист2!$A:$A,Лист1!$A216,Лист2!$B:$B,Лист1!$B216)</f>
        <v>21</v>
      </c>
      <c r="F216" s="7">
        <f>SUMIFS(Лист2!$D:$D,Лист2!$A:$A,Лист1!$A216,Лист2!$B:$B,Лист1!$B216)</f>
        <v>1879</v>
      </c>
      <c r="G216" s="7">
        <f>SUMIFS(Лист2!$E:$E,Лист2!$A:$A,Лист1!$A216,Лист2!$B:$B,Лист1!$B216)</f>
        <v>1695</v>
      </c>
      <c r="H216" s="13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SUMIFS(Лист2!$C:$C,Лист2!$A:$A,Лист1!$A217,Лист2!$B:$B,Лист1!$B217)</f>
        <v>21</v>
      </c>
      <c r="F217" s="7">
        <f>SUMIFS(Лист2!$D:$D,Лист2!$A:$A,Лист1!$A217,Лист2!$B:$B,Лист1!$B217)</f>
        <v>2254</v>
      </c>
      <c r="G217" s="7">
        <f>SUMIFS(Лист2!$E:$E,Лист2!$A:$A,Лист1!$A217,Лист2!$B:$B,Лист1!$B217)</f>
        <v>2061</v>
      </c>
      <c r="H217" s="13">
        <f t="shared" si="6"/>
        <v>164252.5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SUMIFS(Лист2!$C:$C,Лист2!$A:$A,Лист1!$A218,Лист2!$B:$B,Лист1!$B218)</f>
        <v>23</v>
      </c>
      <c r="F218" s="7">
        <f>SUMIFS(Лист2!$D:$D,Лист2!$A:$A,Лист1!$A218,Лист2!$B:$B,Лист1!$B218)</f>
        <v>2522</v>
      </c>
      <c r="G218" s="7">
        <f>SUMIFS(Лист2!$E:$E,Лист2!$A:$A,Лист1!$A218,Лист2!$B:$B,Лист1!$B218)</f>
        <v>2295</v>
      </c>
      <c r="H218" s="13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SUMIFS(Лист2!$C:$C,Лист2!$A:$A,Лист1!$A219,Лист2!$B:$B,Лист1!$B219)</f>
        <v>22</v>
      </c>
      <c r="F219" s="7">
        <f>SUMIFS(Лист2!$D:$D,Лист2!$A:$A,Лист1!$A219,Лист2!$B:$B,Лист1!$B219)</f>
        <v>2793</v>
      </c>
      <c r="G219" s="7">
        <f>SUMIFS(Лист2!$E:$E,Лист2!$A:$A,Лист1!$A219,Лист2!$B:$B,Лист1!$B219)</f>
        <v>2539</v>
      </c>
      <c r="H219" s="13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SUMIFS(Лист2!$C:$C,Лист2!$A:$A,Лист1!$A220,Лист2!$B:$B,Лист1!$B220)</f>
        <v>22</v>
      </c>
      <c r="F220" s="7">
        <f>SUMIFS(Лист2!$D:$D,Лист2!$A:$A,Лист1!$A220,Лист2!$B:$B,Лист1!$B220)</f>
        <v>2454</v>
      </c>
      <c r="G220" s="7">
        <f>SUMIFS(Лист2!$E:$E,Лист2!$A:$A,Лист1!$A220,Лист2!$B:$B,Лист1!$B220)</f>
        <v>2239</v>
      </c>
      <c r="H220" s="13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SUMIFS(Лист2!$C:$C,Лист2!$A:$A,Лист1!$A221,Лист2!$B:$B,Лист1!$B221)</f>
        <v>15</v>
      </c>
      <c r="F221" s="7">
        <f>SUMIFS(Лист2!$D:$D,Лист2!$A:$A,Лист1!$A221,Лист2!$B:$B,Лист1!$B221)</f>
        <v>1111</v>
      </c>
      <c r="G221" s="7">
        <f>SUMIFS(Лист2!$E:$E,Лист2!$A:$A,Лист1!$A221,Лист2!$B:$B,Лист1!$B221)</f>
        <v>992</v>
      </c>
      <c r="H221" s="13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SUMIFS(Лист2!$C:$C,Лист2!$A:$A,Лист1!$A222,Лист2!$B:$B,Лист1!$B222)</f>
        <v>16</v>
      </c>
      <c r="F222" s="7">
        <f>SUMIFS(Лист2!$D:$D,Лист2!$A:$A,Лист1!$A222,Лист2!$B:$B,Лист1!$B222)</f>
        <v>1012</v>
      </c>
      <c r="G222" s="7">
        <f>SUMIFS(Лист2!$E:$E,Лист2!$A:$A,Лист1!$A222,Лист2!$B:$B,Лист1!$B222)</f>
        <v>900</v>
      </c>
      <c r="H222" s="13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SUMIFS(Лист2!$C:$C,Лист2!$A:$A,Лист1!$A223,Лист2!$B:$B,Лист1!$B223)</f>
        <v>15</v>
      </c>
      <c r="F223" s="7">
        <f>SUMIFS(Лист2!$D:$D,Лист2!$A:$A,Лист1!$A223,Лист2!$B:$B,Лист1!$B223)</f>
        <v>971</v>
      </c>
      <c r="G223" s="7">
        <f>SUMIFS(Лист2!$E:$E,Лист2!$A:$A,Лист1!$A223,Лист2!$B:$B,Лист1!$B223)</f>
        <v>856</v>
      </c>
      <c r="H223" s="13">
        <f t="shared" si="6"/>
        <v>91838.5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SUMIFS(Лист2!$C:$C,Лист2!$A:$A,Лист1!$A224,Лист2!$B:$B,Лист1!$B224)</f>
        <v>15</v>
      </c>
      <c r="F224" s="7">
        <f>SUMIFS(Лист2!$D:$D,Лист2!$A:$A,Лист1!$A224,Лист2!$B:$B,Лист1!$B224)</f>
        <v>849</v>
      </c>
      <c r="G224" s="7">
        <f>SUMIFS(Лист2!$E:$E,Лист2!$A:$A,Лист1!$A224,Лист2!$B:$B,Лист1!$B224)</f>
        <v>740</v>
      </c>
      <c r="H224" s="13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SUMIFS(Лист2!$C:$C,Лист2!$A:$A,Лист1!$A225,Лист2!$B:$B,Лист1!$B225)</f>
        <v>15</v>
      </c>
      <c r="F225" s="7">
        <f>SUMIFS(Лист2!$D:$D,Лист2!$A:$A,Лист1!$A225,Лист2!$B:$B,Лист1!$B225)</f>
        <v>750</v>
      </c>
      <c r="G225" s="7">
        <f>SUMIFS(Лист2!$E:$E,Лист2!$A:$A,Лист1!$A225,Лист2!$B:$B,Лист1!$B225)</f>
        <v>647</v>
      </c>
      <c r="H225" s="13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SUMIFS(Лист2!$C:$C,Лист2!$A:$A,Лист1!$A226,Лист2!$B:$B,Лист1!$B226)</f>
        <v>15</v>
      </c>
      <c r="F226" s="7">
        <f>SUMIFS(Лист2!$D:$D,Лист2!$A:$A,Лист1!$A226,Лист2!$B:$B,Лист1!$B226)</f>
        <v>786</v>
      </c>
      <c r="G226" s="7">
        <f>SUMIFS(Лист2!$E:$E,Лист2!$A:$A,Лист1!$A226,Лист2!$B:$B,Лист1!$B226)</f>
        <v>695</v>
      </c>
      <c r="H226" s="13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SUMIFS(Лист2!$C:$C,Лист2!$A:$A,Лист1!$A227,Лист2!$B:$B,Лист1!$B227)</f>
        <v>15</v>
      </c>
      <c r="F227" s="7">
        <f>SUMIFS(Лист2!$D:$D,Лист2!$A:$A,Лист1!$A227,Лист2!$B:$B,Лист1!$B227)</f>
        <v>751</v>
      </c>
      <c r="G227" s="7">
        <f>SUMIFS(Лист2!$E:$E,Лист2!$A:$A,Лист1!$A227,Лист2!$B:$B,Лист1!$B227)</f>
        <v>651</v>
      </c>
      <c r="H227" s="13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SUMIFS(Лист2!$C:$C,Лист2!$A:$A,Лист1!$A228,Лист2!$B:$B,Лист1!$B228)</f>
        <v>17</v>
      </c>
      <c r="F228" s="7">
        <f>SUMIFS(Лист2!$D:$D,Лист2!$A:$A,Лист1!$A228,Лист2!$B:$B,Лист1!$B228)</f>
        <v>1140</v>
      </c>
      <c r="G228" s="7">
        <f>SUMIFS(Лист2!$E:$E,Лист2!$A:$A,Лист1!$A228,Лист2!$B:$B,Лист1!$B228)</f>
        <v>1016</v>
      </c>
      <c r="H228" s="13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SUMIFS(Лист2!$C:$C,Лист2!$A:$A,Лист1!$A229,Лист2!$B:$B,Лист1!$B229)</f>
        <v>15</v>
      </c>
      <c r="F229" s="7">
        <f>SUMIFS(Лист2!$D:$D,Лист2!$A:$A,Лист1!$A229,Лист2!$B:$B,Лист1!$B229)</f>
        <v>996</v>
      </c>
      <c r="G229" s="7">
        <f>SUMIFS(Лист2!$E:$E,Лист2!$A:$A,Лист1!$A229,Лист2!$B:$B,Лист1!$B229)</f>
        <v>888</v>
      </c>
      <c r="H229" s="13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SUMIFS(Лист2!$C:$C,Лист2!$A:$A,Лист1!$A230,Лист2!$B:$B,Лист1!$B230)</f>
        <v>15</v>
      </c>
      <c r="F230" s="7">
        <f>SUMIFS(Лист2!$D:$D,Лист2!$A:$A,Лист1!$A230,Лист2!$B:$B,Лист1!$B230)</f>
        <v>845</v>
      </c>
      <c r="G230" s="7">
        <f>SUMIFS(Лист2!$E:$E,Лист2!$A:$A,Лист1!$A230,Лист2!$B:$B,Лист1!$B230)</f>
        <v>743</v>
      </c>
      <c r="H230" s="13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SUMIFS(Лист2!$C:$C,Лист2!$A:$A,Лист1!$A231,Лист2!$B:$B,Лист1!$B231)</f>
        <v>17</v>
      </c>
      <c r="F231" s="7">
        <f>SUMIFS(Лист2!$D:$D,Лист2!$A:$A,Лист1!$A231,Лист2!$B:$B,Лист1!$B231)</f>
        <v>1045</v>
      </c>
      <c r="G231" s="7">
        <f>SUMIFS(Лист2!$E:$E,Лист2!$A:$A,Лист1!$A231,Лист2!$B:$B,Лист1!$B231)</f>
        <v>930</v>
      </c>
      <c r="H231" s="13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SUMIFS(Лист2!$C:$C,Лист2!$A:$A,Лист1!$A232,Лист2!$B:$B,Лист1!$B232)</f>
        <v>16</v>
      </c>
      <c r="F232" s="7">
        <f>SUMIFS(Лист2!$D:$D,Лист2!$A:$A,Лист1!$A232,Лист2!$B:$B,Лист1!$B232)</f>
        <v>1050</v>
      </c>
      <c r="G232" s="7">
        <f>SUMIFS(Лист2!$E:$E,Лист2!$A:$A,Лист1!$A232,Лист2!$B:$B,Лист1!$B232)</f>
        <v>938</v>
      </c>
      <c r="H232" s="13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SUMIFS(Лист2!$C:$C,Лист2!$A:$A,Лист1!$A233,Лист2!$B:$B,Лист1!$B233)</f>
        <v>15</v>
      </c>
      <c r="F233" s="7">
        <f>SUMIFS(Лист2!$D:$D,Лист2!$A:$A,Лист1!$A233,Лист2!$B:$B,Лист1!$B233)</f>
        <v>922</v>
      </c>
      <c r="G233" s="7">
        <f>SUMIFS(Лист2!$E:$E,Лист2!$A:$A,Лист1!$A233,Лист2!$B:$B,Лист1!$B233)</f>
        <v>823</v>
      </c>
      <c r="H233" s="13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SUMIFS(Лист2!$C:$C,Лист2!$A:$A,Лист1!$A234,Лист2!$B:$B,Лист1!$B234)</f>
        <v>15</v>
      </c>
      <c r="F234" s="7">
        <f>SUMIFS(Лист2!$D:$D,Лист2!$A:$A,Лист1!$A234,Лист2!$B:$B,Лист1!$B234)</f>
        <v>780</v>
      </c>
      <c r="G234" s="7">
        <f>SUMIFS(Лист2!$E:$E,Лист2!$A:$A,Лист1!$A234,Лист2!$B:$B,Лист1!$B234)</f>
        <v>690</v>
      </c>
      <c r="H234" s="13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SUMIFS(Лист2!$C:$C,Лист2!$A:$A,Лист1!$A235,Лист2!$B:$B,Лист1!$B235)</f>
        <v>15</v>
      </c>
      <c r="F235" s="7">
        <f>SUMIFS(Лист2!$D:$D,Лист2!$A:$A,Лист1!$A235,Лист2!$B:$B,Лист1!$B235)</f>
        <v>898</v>
      </c>
      <c r="G235" s="7">
        <f>SUMIFS(Лист2!$E:$E,Лист2!$A:$A,Лист1!$A235,Лист2!$B:$B,Лист1!$B235)</f>
        <v>795</v>
      </c>
      <c r="H235" s="13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SUMIFS(Лист2!$C:$C,Лист2!$A:$A,Лист1!$A236,Лист2!$B:$B,Лист1!$B236)</f>
        <v>15</v>
      </c>
      <c r="F236" s="7">
        <f>SUMIFS(Лист2!$D:$D,Лист2!$A:$A,Лист1!$A236,Лист2!$B:$B,Лист1!$B236)</f>
        <v>784</v>
      </c>
      <c r="G236" s="7">
        <f>SUMIFS(Лист2!$E:$E,Лист2!$A:$A,Лист1!$A236,Лист2!$B:$B,Лист1!$B236)</f>
        <v>696</v>
      </c>
      <c r="H236" s="13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SUMIFS(Лист2!$C:$C,Лист2!$A:$A,Лист1!$A237,Лист2!$B:$B,Лист1!$B237)</f>
        <v>15</v>
      </c>
      <c r="F237" s="7">
        <f>SUMIFS(Лист2!$D:$D,Лист2!$A:$A,Лист1!$A237,Лист2!$B:$B,Лист1!$B237)</f>
        <v>839</v>
      </c>
      <c r="G237" s="7">
        <f>SUMIFS(Лист2!$E:$E,Лист2!$A:$A,Лист1!$A237,Лист2!$B:$B,Лист1!$B237)</f>
        <v>733</v>
      </c>
      <c r="H237" s="13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SUMIFS(Лист2!$C:$C,Лист2!$A:$A,Лист1!$A238,Лист2!$B:$B,Лист1!$B238)</f>
        <v>17</v>
      </c>
      <c r="F238" s="7">
        <f>SUMIFS(Лист2!$D:$D,Лист2!$A:$A,Лист1!$A238,Лист2!$B:$B,Лист1!$B238)</f>
        <v>1294</v>
      </c>
      <c r="G238" s="7">
        <f>SUMIFS(Лист2!$E:$E,Лист2!$A:$A,Лист1!$A238,Лист2!$B:$B,Лист1!$B238)</f>
        <v>1155</v>
      </c>
      <c r="H238" s="13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SUMIFS(Лист2!$C:$C,Лист2!$A:$A,Лист1!$A239,Лист2!$B:$B,Лист1!$B239)</f>
        <v>17</v>
      </c>
      <c r="F239" s="7">
        <f>SUMIFS(Лист2!$D:$D,Лист2!$A:$A,Лист1!$A239,Лист2!$B:$B,Лист1!$B239)</f>
        <v>1142</v>
      </c>
      <c r="G239" s="7">
        <f>SUMIFS(Лист2!$E:$E,Лист2!$A:$A,Лист1!$A239,Лист2!$B:$B,Лист1!$B239)</f>
        <v>1020</v>
      </c>
      <c r="H239" s="13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SUMIFS(Лист2!$C:$C,Лист2!$A:$A,Лист1!$A240,Лист2!$B:$B,Лист1!$B240)</f>
        <v>15</v>
      </c>
      <c r="F240" s="7">
        <f>SUMIFS(Лист2!$D:$D,Лист2!$A:$A,Лист1!$A240,Лист2!$B:$B,Лист1!$B240)</f>
        <v>791</v>
      </c>
      <c r="G240" s="7">
        <f>SUMIFS(Лист2!$E:$E,Лист2!$A:$A,Лист1!$A240,Лист2!$B:$B,Лист1!$B240)</f>
        <v>691</v>
      </c>
      <c r="H240" s="13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SUMIFS(Лист2!$C:$C,Лист2!$A:$A,Лист1!$A241,Лист2!$B:$B,Лист1!$B241)</f>
        <v>15</v>
      </c>
      <c r="F241" s="7">
        <f>SUMIFS(Лист2!$D:$D,Лист2!$A:$A,Лист1!$A241,Лист2!$B:$B,Лист1!$B241)</f>
        <v>950</v>
      </c>
      <c r="G241" s="7">
        <f>SUMIFS(Лист2!$E:$E,Лист2!$A:$A,Лист1!$A241,Лист2!$B:$B,Лист1!$B241)</f>
        <v>848</v>
      </c>
      <c r="H241" s="13">
        <f t="shared" si="6"/>
        <v>98102.5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SUMIFS(Лист2!$C:$C,Лист2!$A:$A,Лист1!$A242,Лист2!$B:$B,Лист1!$B242)</f>
        <v>15</v>
      </c>
      <c r="F242" s="7">
        <f>SUMIFS(Лист2!$D:$D,Лист2!$A:$A,Лист1!$A242,Лист2!$B:$B,Лист1!$B242)</f>
        <v>879</v>
      </c>
      <c r="G242" s="7">
        <f>SUMIFS(Лист2!$E:$E,Лист2!$A:$A,Лист1!$A242,Лист2!$B:$B,Лист1!$B242)</f>
        <v>768</v>
      </c>
      <c r="H242" s="13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SUMIFS(Лист2!$C:$C,Лист2!$A:$A,Лист1!$A243,Лист2!$B:$B,Лист1!$B243)</f>
        <v>15</v>
      </c>
      <c r="F243" s="7">
        <f>SUMIFS(Лист2!$D:$D,Лист2!$A:$A,Лист1!$A243,Лист2!$B:$B,Лист1!$B243)</f>
        <v>805</v>
      </c>
      <c r="G243" s="7">
        <f>SUMIFS(Лист2!$E:$E,Лист2!$A:$A,Лист1!$A243,Лист2!$B:$B,Лист1!$B243)</f>
        <v>703</v>
      </c>
      <c r="H243" s="13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SUMIFS(Лист2!$C:$C,Лист2!$A:$A,Лист1!$A244,Лист2!$B:$B,Лист1!$B244)</f>
        <v>17</v>
      </c>
      <c r="F244" s="7">
        <f>SUMIFS(Лист2!$D:$D,Лист2!$A:$A,Лист1!$A244,Лист2!$B:$B,Лист1!$B244)</f>
        <v>1128</v>
      </c>
      <c r="G244" s="7">
        <f>SUMIFS(Лист2!$E:$E,Лист2!$A:$A,Лист1!$A244,Лист2!$B:$B,Лист1!$B244)</f>
        <v>1001</v>
      </c>
      <c r="H244" s="13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SUMIFS(Лист2!$C:$C,Лист2!$A:$A,Лист1!$A245,Лист2!$B:$B,Лист1!$B245)</f>
        <v>15</v>
      </c>
      <c r="F245" s="7">
        <f>SUMIFS(Лист2!$D:$D,Лист2!$A:$A,Лист1!$A245,Лист2!$B:$B,Лист1!$B245)</f>
        <v>747</v>
      </c>
      <c r="G245" s="7">
        <f>SUMIFS(Лист2!$E:$E,Лист2!$A:$A,Лист1!$A245,Лист2!$B:$B,Лист1!$B245)</f>
        <v>647</v>
      </c>
      <c r="H245" s="13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SUMIFS(Лист2!$C:$C,Лист2!$A:$A,Лист1!$A246,Лист2!$B:$B,Лист1!$B246)</f>
        <v>15</v>
      </c>
      <c r="F246" s="7">
        <f>SUMIFS(Лист2!$D:$D,Лист2!$A:$A,Лист1!$A246,Лист2!$B:$B,Лист1!$B246)</f>
        <v>930</v>
      </c>
      <c r="G246" s="7">
        <f>SUMIFS(Лист2!$E:$E,Лист2!$A:$A,Лист1!$A246,Лист2!$B:$B,Лист1!$B246)</f>
        <v>827</v>
      </c>
      <c r="H246" s="13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SUMIFS(Лист2!$C:$C,Лист2!$A:$A,Лист1!$A247,Лист2!$B:$B,Лист1!$B247)</f>
        <v>15</v>
      </c>
      <c r="F247" s="7">
        <f>SUMIFS(Лист2!$D:$D,Лист2!$A:$A,Лист1!$A247,Лист2!$B:$B,Лист1!$B247)</f>
        <v>692</v>
      </c>
      <c r="G247" s="7">
        <f>SUMIFS(Лист2!$E:$E,Лист2!$A:$A,Лист1!$A247,Лист2!$B:$B,Лист1!$B247)</f>
        <v>591</v>
      </c>
      <c r="H247" s="13">
        <f t="shared" si="6"/>
        <v>70699.3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SUMIFS(Лист2!$C:$C,Лист2!$A:$A,Лист1!$A248,Лист2!$B:$B,Лист1!$B248)</f>
        <v>15</v>
      </c>
      <c r="F248" s="7">
        <f>SUMIFS(Лист2!$D:$D,Лист2!$A:$A,Лист1!$A248,Лист2!$B:$B,Лист1!$B248)</f>
        <v>623</v>
      </c>
      <c r="G248" s="7">
        <f>SUMIFS(Лист2!$E:$E,Лист2!$A:$A,Лист1!$A248,Лист2!$B:$B,Лист1!$B248)</f>
        <v>535</v>
      </c>
      <c r="H248" s="13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SUMIFS(Лист2!$C:$C,Лист2!$A:$A,Лист1!$A249,Лист2!$B:$B,Лист1!$B249)</f>
        <v>15</v>
      </c>
      <c r="F249" s="7">
        <f>SUMIFS(Лист2!$D:$D,Лист2!$A:$A,Лист1!$A249,Лист2!$B:$B,Лист1!$B249)</f>
        <v>390</v>
      </c>
      <c r="G249" s="7">
        <f>SUMIFS(Лист2!$E:$E,Лист2!$A:$A,Лист1!$A249,Лист2!$B:$B,Лист1!$B249)</f>
        <v>315</v>
      </c>
      <c r="H249" s="13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SUMIFS(Лист2!$C:$C,Лист2!$A:$A,Лист1!$A250,Лист2!$B:$B,Лист1!$B250)</f>
        <v>18</v>
      </c>
      <c r="F250" s="7">
        <f>SUMIFS(Лист2!$D:$D,Лист2!$A:$A,Лист1!$A250,Лист2!$B:$B,Лист1!$B250)</f>
        <v>1599</v>
      </c>
      <c r="G250" s="7">
        <f>SUMIFS(Лист2!$E:$E,Лист2!$A:$A,Лист1!$A250,Лист2!$B:$B,Лист1!$B250)</f>
        <v>1450</v>
      </c>
      <c r="H250" s="13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SUMIFS(Лист2!$C:$C,Лист2!$A:$A,Лист1!$A251,Лист2!$B:$B,Лист1!$B251)</f>
        <v>15</v>
      </c>
      <c r="F251" s="7">
        <f>SUMIFS(Лист2!$D:$D,Лист2!$A:$A,Лист1!$A251,Лист2!$B:$B,Лист1!$B251)</f>
        <v>274</v>
      </c>
      <c r="G251" s="7">
        <f>SUMIFS(Лист2!$E:$E,Лист2!$A:$A,Лист1!$A251,Лист2!$B:$B,Лист1!$B251)</f>
        <v>203</v>
      </c>
      <c r="H251" s="13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SUMIFS(Лист2!$C:$C,Лист2!$A:$A,Лист1!$A252,Лист2!$B:$B,Лист1!$B252)</f>
        <v>15</v>
      </c>
      <c r="F252" s="7">
        <f>SUMIFS(Лист2!$D:$D,Лист2!$A:$A,Лист1!$A252,Лист2!$B:$B,Лист1!$B252)</f>
        <v>812</v>
      </c>
      <c r="G252" s="7">
        <f>SUMIFS(Лист2!$E:$E,Лист2!$A:$A,Лист1!$A252,Лист2!$B:$B,Лист1!$B252)</f>
        <v>711</v>
      </c>
      <c r="H252" s="13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SUMIFS(Лист2!$C:$C,Лист2!$A:$A,Лист1!$A253,Лист2!$B:$B,Лист1!$B253)</f>
        <v>15</v>
      </c>
      <c r="F253" s="7">
        <f>SUMIFS(Лист2!$D:$D,Лист2!$A:$A,Лист1!$A253,Лист2!$B:$B,Лист1!$B253)</f>
        <v>294</v>
      </c>
      <c r="G253" s="7">
        <f>SUMIFS(Лист2!$E:$E,Лист2!$A:$A,Лист1!$A253,Лист2!$B:$B,Лист1!$B253)</f>
        <v>225</v>
      </c>
      <c r="H253" s="13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SUMIFS(Лист2!$C:$C,Лист2!$A:$A,Лист1!$A254,Лист2!$B:$B,Лист1!$B254)</f>
        <v>15</v>
      </c>
      <c r="F254" s="7">
        <f>SUMIFS(Лист2!$D:$D,Лист2!$A:$A,Лист1!$A254,Лист2!$B:$B,Лист1!$B254)</f>
        <v>624</v>
      </c>
      <c r="G254" s="7">
        <f>SUMIFS(Лист2!$E:$E,Лист2!$A:$A,Лист1!$A254,Лист2!$B:$B,Лист1!$B254)</f>
        <v>538</v>
      </c>
      <c r="H254" s="13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SUMIFS(Лист2!$C:$C,Лист2!$A:$A,Лист1!$A255,Лист2!$B:$B,Лист1!$B255)</f>
        <v>15</v>
      </c>
      <c r="F255" s="7">
        <f>SUMIFS(Лист2!$D:$D,Лист2!$A:$A,Лист1!$A255,Лист2!$B:$B,Лист1!$B255)</f>
        <v>749</v>
      </c>
      <c r="G255" s="7">
        <f>SUMIFS(Лист2!$E:$E,Лист2!$A:$A,Лист1!$A255,Лист2!$B:$B,Лист1!$B255)</f>
        <v>652</v>
      </c>
      <c r="H255" s="13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SUMIFS(Лист2!$C:$C,Лист2!$A:$A,Лист1!$A256,Лист2!$B:$B,Лист1!$B256)</f>
        <v>15</v>
      </c>
      <c r="F256" s="7">
        <f>SUMIFS(Лист2!$D:$D,Лист2!$A:$A,Лист1!$A256,Лист2!$B:$B,Лист1!$B256)</f>
        <v>760</v>
      </c>
      <c r="G256" s="7">
        <f>SUMIFS(Лист2!$E:$E,Лист2!$A:$A,Лист1!$A256,Лист2!$B:$B,Лист1!$B256)</f>
        <v>664</v>
      </c>
      <c r="H256" s="13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SUMIFS(Лист2!$C:$C,Лист2!$A:$A,Лист1!$A257,Лист2!$B:$B,Лист1!$B257)</f>
        <v>15</v>
      </c>
      <c r="F257" s="7">
        <f>SUMIFS(Лист2!$D:$D,Лист2!$A:$A,Лист1!$A257,Лист2!$B:$B,Лист1!$B257)</f>
        <v>455</v>
      </c>
      <c r="G257" s="7">
        <f>SUMIFS(Лист2!$E:$E,Лист2!$A:$A,Лист1!$A257,Лист2!$B:$B,Лист1!$B257)</f>
        <v>381</v>
      </c>
      <c r="H257" s="13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SUMIFS(Лист2!$C:$C,Лист2!$A:$A,Лист1!$A258,Лист2!$B:$B,Лист1!$B258)</f>
        <v>18</v>
      </c>
      <c r="F258" s="7">
        <f>SUMIFS(Лист2!$D:$D,Лист2!$A:$A,Лист1!$A258,Лист2!$B:$B,Лист1!$B258)</f>
        <v>1505</v>
      </c>
      <c r="G258" s="7">
        <f>SUMIFS(Лист2!$E:$E,Лист2!$A:$A,Лист1!$A258,Лист2!$B:$B,Лист1!$B258)</f>
        <v>1368</v>
      </c>
      <c r="H258" s="13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SUMIFS(Лист2!$C:$C,Лист2!$A:$A,Лист1!$A259,Лист2!$B:$B,Лист1!$B259)</f>
        <v>15</v>
      </c>
      <c r="F259" s="7">
        <f>SUMIFS(Лист2!$D:$D,Лист2!$A:$A,Лист1!$A259,Лист2!$B:$B,Лист1!$B259)</f>
        <v>599</v>
      </c>
      <c r="G259" s="7">
        <f>SUMIFS(Лист2!$E:$E,Лист2!$A:$A,Лист1!$A259,Лист2!$B:$B,Лист1!$B259)</f>
        <v>515</v>
      </c>
      <c r="H259" s="13">
        <f t="shared" ref="H259:H322" si="8">D259/E259</f>
        <v>63327.5</v>
      </c>
      <c r="I259">
        <f t="shared" ref="I259:I322" si="9">WEEKNUM(A259,2)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SUMIFS(Лист2!$C:$C,Лист2!$A:$A,Лист1!$A260,Лист2!$B:$B,Лист1!$B260)</f>
        <v>17</v>
      </c>
      <c r="F260" s="7">
        <f>SUMIFS(Лист2!$D:$D,Лист2!$A:$A,Лист1!$A260,Лист2!$B:$B,Лист1!$B260)</f>
        <v>1186</v>
      </c>
      <c r="G260" s="7">
        <f>SUMIFS(Лист2!$E:$E,Лист2!$A:$A,Лист1!$A260,Лист2!$B:$B,Лист1!$B260)</f>
        <v>1054</v>
      </c>
      <c r="H260" s="13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SUMIFS(Лист2!$C:$C,Лист2!$A:$A,Лист1!$A261,Лист2!$B:$B,Лист1!$B261)</f>
        <v>15</v>
      </c>
      <c r="F261" s="7">
        <f>SUMIFS(Лист2!$D:$D,Лист2!$A:$A,Лист1!$A261,Лист2!$B:$B,Лист1!$B261)</f>
        <v>455</v>
      </c>
      <c r="G261" s="7">
        <f>SUMIFS(Лист2!$E:$E,Лист2!$A:$A,Лист1!$A261,Лист2!$B:$B,Лист1!$B261)</f>
        <v>384</v>
      </c>
      <c r="H261" s="13">
        <f t="shared" si="8"/>
        <v>44353.5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SUMIFS(Лист2!$C:$C,Лист2!$A:$A,Лист1!$A262,Лист2!$B:$B,Лист1!$B262)</f>
        <v>17</v>
      </c>
      <c r="F262" s="7">
        <f>SUMIFS(Лист2!$D:$D,Лист2!$A:$A,Лист1!$A262,Лист2!$B:$B,Лист1!$B262)</f>
        <v>1697</v>
      </c>
      <c r="G262" s="7">
        <f>SUMIFS(Лист2!$E:$E,Лист2!$A:$A,Лист1!$A262,Лист2!$B:$B,Лист1!$B262)</f>
        <v>1499</v>
      </c>
      <c r="H262" s="13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SUMIFS(Лист2!$C:$C,Лист2!$A:$A,Лист1!$A263,Лист2!$B:$B,Лист1!$B263)</f>
        <v>15</v>
      </c>
      <c r="F263" s="7">
        <f>SUMIFS(Лист2!$D:$D,Лист2!$A:$A,Лист1!$A263,Лист2!$B:$B,Лист1!$B263)</f>
        <v>467</v>
      </c>
      <c r="G263" s="7">
        <f>SUMIFS(Лист2!$E:$E,Лист2!$A:$A,Лист1!$A263,Лист2!$B:$B,Лист1!$B263)</f>
        <v>389</v>
      </c>
      <c r="H263" s="13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SUMIFS(Лист2!$C:$C,Лист2!$A:$A,Лист1!$A264,Лист2!$B:$B,Лист1!$B264)</f>
        <v>15</v>
      </c>
      <c r="F264" s="7">
        <f>SUMIFS(Лист2!$D:$D,Лист2!$A:$A,Лист1!$A264,Лист2!$B:$B,Лист1!$B264)</f>
        <v>840</v>
      </c>
      <c r="G264" s="7">
        <f>SUMIFS(Лист2!$E:$E,Лист2!$A:$A,Лист1!$A264,Лист2!$B:$B,Лист1!$B264)</f>
        <v>725</v>
      </c>
      <c r="H264" s="13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SUMIFS(Лист2!$C:$C,Лист2!$A:$A,Лист1!$A265,Лист2!$B:$B,Лист1!$B265)</f>
        <v>17</v>
      </c>
      <c r="F265" s="7">
        <f>SUMIFS(Лист2!$D:$D,Лист2!$A:$A,Лист1!$A265,Лист2!$B:$B,Лист1!$B265)</f>
        <v>1097</v>
      </c>
      <c r="G265" s="7">
        <f>SUMIFS(Лист2!$E:$E,Лист2!$A:$A,Лист1!$A265,Лист2!$B:$B,Лист1!$B265)</f>
        <v>968</v>
      </c>
      <c r="H265" s="13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SUMIFS(Лист2!$C:$C,Лист2!$A:$A,Лист1!$A266,Лист2!$B:$B,Лист1!$B266)</f>
        <v>15</v>
      </c>
      <c r="F266" s="7">
        <f>SUMIFS(Лист2!$D:$D,Лист2!$A:$A,Лист1!$A266,Лист2!$B:$B,Лист1!$B266)</f>
        <v>835</v>
      </c>
      <c r="G266" s="7">
        <f>SUMIFS(Лист2!$E:$E,Лист2!$A:$A,Лист1!$A266,Лист2!$B:$B,Лист1!$B266)</f>
        <v>736</v>
      </c>
      <c r="H266" s="13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SUMIFS(Лист2!$C:$C,Лист2!$A:$A,Лист1!$A267,Лист2!$B:$B,Лист1!$B267)</f>
        <v>15</v>
      </c>
      <c r="F267" s="7">
        <f>SUMIFS(Лист2!$D:$D,Лист2!$A:$A,Лист1!$A267,Лист2!$B:$B,Лист1!$B267)</f>
        <v>262</v>
      </c>
      <c r="G267" s="7">
        <f>SUMIFS(Лист2!$E:$E,Лист2!$A:$A,Лист1!$A267,Лист2!$B:$B,Лист1!$B267)</f>
        <v>195</v>
      </c>
      <c r="H267" s="13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SUMIFS(Лист2!$C:$C,Лист2!$A:$A,Лист1!$A268,Лист2!$B:$B,Лист1!$B268)</f>
        <v>15</v>
      </c>
      <c r="F268" s="7">
        <f>SUMIFS(Лист2!$D:$D,Лист2!$A:$A,Лист1!$A268,Лист2!$B:$B,Лист1!$B268)</f>
        <v>706</v>
      </c>
      <c r="G268" s="7">
        <f>SUMIFS(Лист2!$E:$E,Лист2!$A:$A,Лист1!$A268,Лист2!$B:$B,Лист1!$B268)</f>
        <v>608</v>
      </c>
      <c r="H268" s="13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SUMIFS(Лист2!$C:$C,Лист2!$A:$A,Лист1!$A269,Лист2!$B:$B,Лист1!$B269)</f>
        <v>15</v>
      </c>
      <c r="F269" s="7">
        <f>SUMIFS(Лист2!$D:$D,Лист2!$A:$A,Лист1!$A269,Лист2!$B:$B,Лист1!$B269)</f>
        <v>492</v>
      </c>
      <c r="G269" s="7">
        <f>SUMIFS(Лист2!$E:$E,Лист2!$A:$A,Лист1!$A269,Лист2!$B:$B,Лист1!$B269)</f>
        <v>412</v>
      </c>
      <c r="H269" s="13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SUMIFS(Лист2!$C:$C,Лист2!$A:$A,Лист1!$A270,Лист2!$B:$B,Лист1!$B270)</f>
        <v>15</v>
      </c>
      <c r="F270" s="7">
        <f>SUMIFS(Лист2!$D:$D,Лист2!$A:$A,Лист1!$A270,Лист2!$B:$B,Лист1!$B270)</f>
        <v>480</v>
      </c>
      <c r="G270" s="7">
        <f>SUMIFS(Лист2!$E:$E,Лист2!$A:$A,Лист1!$A270,Лист2!$B:$B,Лист1!$B270)</f>
        <v>398</v>
      </c>
      <c r="H270" s="13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SUMIFS(Лист2!$C:$C,Лист2!$A:$A,Лист1!$A271,Лист2!$B:$B,Лист1!$B271)</f>
        <v>15</v>
      </c>
      <c r="F271" s="7">
        <f>SUMIFS(Лист2!$D:$D,Лист2!$A:$A,Лист1!$A271,Лист2!$B:$B,Лист1!$B271)</f>
        <v>779</v>
      </c>
      <c r="G271" s="7">
        <f>SUMIFS(Лист2!$E:$E,Лист2!$A:$A,Лист1!$A271,Лист2!$B:$B,Лист1!$B271)</f>
        <v>673</v>
      </c>
      <c r="H271" s="13">
        <f t="shared" si="8"/>
        <v>78991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SUMIFS(Лист2!$C:$C,Лист2!$A:$A,Лист1!$A272,Лист2!$B:$B,Лист1!$B272)</f>
        <v>19</v>
      </c>
      <c r="F272" s="7">
        <f>SUMIFS(Лист2!$D:$D,Лист2!$A:$A,Лист1!$A272,Лист2!$B:$B,Лист1!$B272)</f>
        <v>2039</v>
      </c>
      <c r="G272" s="7">
        <f>SUMIFS(Лист2!$E:$E,Лист2!$A:$A,Лист1!$A272,Лист2!$B:$B,Лист1!$B272)</f>
        <v>1868</v>
      </c>
      <c r="H272" s="13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SUMIFS(Лист2!$C:$C,Лист2!$A:$A,Лист1!$A273,Лист2!$B:$B,Лист1!$B273)</f>
        <v>19</v>
      </c>
      <c r="F273" s="7">
        <f>SUMIFS(Лист2!$D:$D,Лист2!$A:$A,Лист1!$A273,Лист2!$B:$B,Лист1!$B273)</f>
        <v>1831</v>
      </c>
      <c r="G273" s="7">
        <f>SUMIFS(Лист2!$E:$E,Лист2!$A:$A,Лист1!$A273,Лист2!$B:$B,Лист1!$B273)</f>
        <v>1667</v>
      </c>
      <c r="H273" s="1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SUMIFS(Лист2!$C:$C,Лист2!$A:$A,Лист1!$A274,Лист2!$B:$B,Лист1!$B274)</f>
        <v>19</v>
      </c>
      <c r="F274" s="7">
        <f>SUMIFS(Лист2!$D:$D,Лист2!$A:$A,Лист1!$A274,Лист2!$B:$B,Лист1!$B274)</f>
        <v>1790</v>
      </c>
      <c r="G274" s="7">
        <f>SUMIFS(Лист2!$E:$E,Лист2!$A:$A,Лист1!$A274,Лист2!$B:$B,Лист1!$B274)</f>
        <v>1633</v>
      </c>
      <c r="H274" s="13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SUMIFS(Лист2!$C:$C,Лист2!$A:$A,Лист1!$A275,Лист2!$B:$B,Лист1!$B275)</f>
        <v>19</v>
      </c>
      <c r="F275" s="7">
        <f>SUMIFS(Лист2!$D:$D,Лист2!$A:$A,Лист1!$A275,Лист2!$B:$B,Лист1!$B275)</f>
        <v>1542</v>
      </c>
      <c r="G275" s="7">
        <f>SUMIFS(Лист2!$E:$E,Лист2!$A:$A,Лист1!$A275,Лист2!$B:$B,Лист1!$B275)</f>
        <v>1412</v>
      </c>
      <c r="H275" s="13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SUMIFS(Лист2!$C:$C,Лист2!$A:$A,Лист1!$A276,Лист2!$B:$B,Лист1!$B276)</f>
        <v>19</v>
      </c>
      <c r="F276" s="7">
        <f>SUMIFS(Лист2!$D:$D,Лист2!$A:$A,Лист1!$A276,Лист2!$B:$B,Лист1!$B276)</f>
        <v>1479</v>
      </c>
      <c r="G276" s="7">
        <f>SUMIFS(Лист2!$E:$E,Лист2!$A:$A,Лист1!$A276,Лист2!$B:$B,Лист1!$B276)</f>
        <v>1346</v>
      </c>
      <c r="H276" s="13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SUMIFS(Лист2!$C:$C,Лист2!$A:$A,Лист1!$A277,Лист2!$B:$B,Лист1!$B277)</f>
        <v>19</v>
      </c>
      <c r="F277" s="7">
        <f>SUMIFS(Лист2!$D:$D,Лист2!$A:$A,Лист1!$A277,Лист2!$B:$B,Лист1!$B277)</f>
        <v>1206</v>
      </c>
      <c r="G277" s="7">
        <f>SUMIFS(Лист2!$E:$E,Лист2!$A:$A,Лист1!$A277,Лист2!$B:$B,Лист1!$B277)</f>
        <v>1080</v>
      </c>
      <c r="H277" s="13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SUMIFS(Лист2!$C:$C,Лист2!$A:$A,Лист1!$A278,Лист2!$B:$B,Лист1!$B278)</f>
        <v>20</v>
      </c>
      <c r="F278" s="7">
        <f>SUMIFS(Лист2!$D:$D,Лист2!$A:$A,Лист1!$A278,Лист2!$B:$B,Лист1!$B278)</f>
        <v>1814</v>
      </c>
      <c r="G278" s="7">
        <f>SUMIFS(Лист2!$E:$E,Лист2!$A:$A,Лист1!$A278,Лист2!$B:$B,Лист1!$B278)</f>
        <v>1655</v>
      </c>
      <c r="H278" s="13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SUMIFS(Лист2!$C:$C,Лист2!$A:$A,Лист1!$A279,Лист2!$B:$B,Лист1!$B279)</f>
        <v>19</v>
      </c>
      <c r="F279" s="7">
        <f>SUMIFS(Лист2!$D:$D,Лист2!$A:$A,Лист1!$A279,Лист2!$B:$B,Лист1!$B279)</f>
        <v>1987</v>
      </c>
      <c r="G279" s="7">
        <f>SUMIFS(Лист2!$E:$E,Лист2!$A:$A,Лист1!$A279,Лист2!$B:$B,Лист1!$B279)</f>
        <v>1791</v>
      </c>
      <c r="H279" s="13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SUMIFS(Лист2!$C:$C,Лист2!$A:$A,Лист1!$A280,Лист2!$B:$B,Лист1!$B280)</f>
        <v>19</v>
      </c>
      <c r="F280" s="7">
        <f>SUMIFS(Лист2!$D:$D,Лист2!$A:$A,Лист1!$A280,Лист2!$B:$B,Лист1!$B280)</f>
        <v>1598</v>
      </c>
      <c r="G280" s="7">
        <f>SUMIFS(Лист2!$E:$E,Лист2!$A:$A,Лист1!$A280,Лист2!$B:$B,Лист1!$B280)</f>
        <v>1454</v>
      </c>
      <c r="H280" s="13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SUMIFS(Лист2!$C:$C,Лист2!$A:$A,Лист1!$A281,Лист2!$B:$B,Лист1!$B281)</f>
        <v>19</v>
      </c>
      <c r="F281" s="7">
        <f>SUMIFS(Лист2!$D:$D,Лист2!$A:$A,Лист1!$A281,Лист2!$B:$B,Лист1!$B281)</f>
        <v>1650</v>
      </c>
      <c r="G281" s="7">
        <f>SUMIFS(Лист2!$E:$E,Лист2!$A:$A,Лист1!$A281,Лист2!$B:$B,Лист1!$B281)</f>
        <v>1505</v>
      </c>
      <c r="H281" s="13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SUMIFS(Лист2!$C:$C,Лист2!$A:$A,Лист1!$A282,Лист2!$B:$B,Лист1!$B282)</f>
        <v>19</v>
      </c>
      <c r="F282" s="7">
        <f>SUMIFS(Лист2!$D:$D,Лист2!$A:$A,Лист1!$A282,Лист2!$B:$B,Лист1!$B282)</f>
        <v>1823</v>
      </c>
      <c r="G282" s="7">
        <f>SUMIFS(Лист2!$E:$E,Лист2!$A:$A,Лист1!$A282,Лист2!$B:$B,Лист1!$B282)</f>
        <v>1678</v>
      </c>
      <c r="H282" s="13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SUMIFS(Лист2!$C:$C,Лист2!$A:$A,Лист1!$A283,Лист2!$B:$B,Лист1!$B283)</f>
        <v>19</v>
      </c>
      <c r="F283" s="7">
        <f>SUMIFS(Лист2!$D:$D,Лист2!$A:$A,Лист1!$A283,Лист2!$B:$B,Лист1!$B283)</f>
        <v>1622</v>
      </c>
      <c r="G283" s="7">
        <f>SUMIFS(Лист2!$E:$E,Лист2!$A:$A,Лист1!$A283,Лист2!$B:$B,Лист1!$B283)</f>
        <v>1482</v>
      </c>
      <c r="H283" s="1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SUMIFS(Лист2!$C:$C,Лист2!$A:$A,Лист1!$A284,Лист2!$B:$B,Лист1!$B284)</f>
        <v>19</v>
      </c>
      <c r="F284" s="7">
        <f>SUMIFS(Лист2!$D:$D,Лист2!$A:$A,Лист1!$A284,Лист2!$B:$B,Лист1!$B284)</f>
        <v>1605</v>
      </c>
      <c r="G284" s="7">
        <f>SUMIFS(Лист2!$E:$E,Лист2!$A:$A,Лист1!$A284,Лист2!$B:$B,Лист1!$B284)</f>
        <v>1447</v>
      </c>
      <c r="H284" s="13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SUMIFS(Лист2!$C:$C,Лист2!$A:$A,Лист1!$A285,Лист2!$B:$B,Лист1!$B285)</f>
        <v>16</v>
      </c>
      <c r="F285" s="7">
        <f>SUMIFS(Лист2!$D:$D,Лист2!$A:$A,Лист1!$A285,Лист2!$B:$B,Лист1!$B285)</f>
        <v>917</v>
      </c>
      <c r="G285" s="7">
        <f>SUMIFS(Лист2!$E:$E,Лист2!$A:$A,Лист1!$A285,Лист2!$B:$B,Лист1!$B285)</f>
        <v>802</v>
      </c>
      <c r="H285" s="13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SUMIFS(Лист2!$C:$C,Лист2!$A:$A,Лист1!$A286,Лист2!$B:$B,Лист1!$B286)</f>
        <v>19</v>
      </c>
      <c r="F286" s="7">
        <f>SUMIFS(Лист2!$D:$D,Лист2!$A:$A,Лист1!$A286,Лист2!$B:$B,Лист1!$B286)</f>
        <v>1314</v>
      </c>
      <c r="G286" s="7">
        <f>SUMIFS(Лист2!$E:$E,Лист2!$A:$A,Лист1!$A286,Лист2!$B:$B,Лист1!$B286)</f>
        <v>1192</v>
      </c>
      <c r="H286" s="13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SUMIFS(Лист2!$C:$C,Лист2!$A:$A,Лист1!$A287,Лист2!$B:$B,Лист1!$B287)</f>
        <v>16</v>
      </c>
      <c r="F287" s="7">
        <f>SUMIFS(Лист2!$D:$D,Лист2!$A:$A,Лист1!$A287,Лист2!$B:$B,Лист1!$B287)</f>
        <v>1048</v>
      </c>
      <c r="G287" s="7">
        <f>SUMIFS(Лист2!$E:$E,Лист2!$A:$A,Лист1!$A287,Лист2!$B:$B,Лист1!$B287)</f>
        <v>918</v>
      </c>
      <c r="H287" s="13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SUMIFS(Лист2!$C:$C,Лист2!$A:$A,Лист1!$A288,Лист2!$B:$B,Лист1!$B288)</f>
        <v>19</v>
      </c>
      <c r="F288" s="7">
        <f>SUMIFS(Лист2!$D:$D,Лист2!$A:$A,Лист1!$A288,Лист2!$B:$B,Лист1!$B288)</f>
        <v>1509</v>
      </c>
      <c r="G288" s="7">
        <f>SUMIFS(Лист2!$E:$E,Лист2!$A:$A,Лист1!$A288,Лист2!$B:$B,Лист1!$B288)</f>
        <v>1374</v>
      </c>
      <c r="H288" s="13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SUMIFS(Лист2!$C:$C,Лист2!$A:$A,Лист1!$A289,Лист2!$B:$B,Лист1!$B289)</f>
        <v>19</v>
      </c>
      <c r="F289" s="7">
        <f>SUMIFS(Лист2!$D:$D,Лист2!$A:$A,Лист1!$A289,Лист2!$B:$B,Лист1!$B289)</f>
        <v>2195</v>
      </c>
      <c r="G289" s="7">
        <f>SUMIFS(Лист2!$E:$E,Лист2!$A:$A,Лист1!$A289,Лист2!$B:$B,Лист1!$B289)</f>
        <v>1999</v>
      </c>
      <c r="H289" s="13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SUMIFS(Лист2!$C:$C,Лист2!$A:$A,Лист1!$A290,Лист2!$B:$B,Лист1!$B290)</f>
        <v>16</v>
      </c>
      <c r="F290" s="7">
        <f>SUMIFS(Лист2!$D:$D,Лист2!$A:$A,Лист1!$A290,Лист2!$B:$B,Лист1!$B290)</f>
        <v>876</v>
      </c>
      <c r="G290" s="7">
        <f>SUMIFS(Лист2!$E:$E,Лист2!$A:$A,Лист1!$A290,Лист2!$B:$B,Лист1!$B290)</f>
        <v>762</v>
      </c>
      <c r="H290" s="13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SUMIFS(Лист2!$C:$C,Лист2!$A:$A,Лист1!$A291,Лист2!$B:$B,Лист1!$B291)</f>
        <v>20</v>
      </c>
      <c r="F291" s="7">
        <f>SUMIFS(Лист2!$D:$D,Лист2!$A:$A,Лист1!$A291,Лист2!$B:$B,Лист1!$B291)</f>
        <v>1899</v>
      </c>
      <c r="G291" s="7">
        <f>SUMIFS(Лист2!$E:$E,Лист2!$A:$A,Лист1!$A291,Лист2!$B:$B,Лист1!$B291)</f>
        <v>1738</v>
      </c>
      <c r="H291" s="13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SUMIFS(Лист2!$C:$C,Лист2!$A:$A,Лист1!$A292,Лист2!$B:$B,Лист1!$B292)</f>
        <v>19</v>
      </c>
      <c r="F292" s="7">
        <f>SUMIFS(Лист2!$D:$D,Лист2!$A:$A,Лист1!$A292,Лист2!$B:$B,Лист1!$B292)</f>
        <v>1662</v>
      </c>
      <c r="G292" s="7">
        <f>SUMIFS(Лист2!$E:$E,Лист2!$A:$A,Лист1!$A292,Лист2!$B:$B,Лист1!$B292)</f>
        <v>1506</v>
      </c>
      <c r="H292" s="13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SUMIFS(Лист2!$C:$C,Лист2!$A:$A,Лист1!$A293,Лист2!$B:$B,Лист1!$B293)</f>
        <v>19</v>
      </c>
      <c r="F293" s="7">
        <f>SUMIFS(Лист2!$D:$D,Лист2!$A:$A,Лист1!$A293,Лист2!$B:$B,Лист1!$B293)</f>
        <v>1836</v>
      </c>
      <c r="G293" s="7">
        <f>SUMIFS(Лист2!$E:$E,Лист2!$A:$A,Лист1!$A293,Лист2!$B:$B,Лист1!$B293)</f>
        <v>1680</v>
      </c>
      <c r="H293" s="13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SUMIFS(Лист2!$C:$C,Лист2!$A:$A,Лист1!$A294,Лист2!$B:$B,Лист1!$B294)</f>
        <v>19</v>
      </c>
      <c r="F294" s="7">
        <f>SUMIFS(Лист2!$D:$D,Лист2!$A:$A,Лист1!$A294,Лист2!$B:$B,Лист1!$B294)</f>
        <v>1520</v>
      </c>
      <c r="G294" s="7">
        <f>SUMIFS(Лист2!$E:$E,Лист2!$A:$A,Лист1!$A294,Лист2!$B:$B,Лист1!$B294)</f>
        <v>1380</v>
      </c>
      <c r="H294" s="13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SUMIFS(Лист2!$C:$C,Лист2!$A:$A,Лист1!$A295,Лист2!$B:$B,Лист1!$B295)</f>
        <v>19</v>
      </c>
      <c r="F295" s="7">
        <f>SUMIFS(Лист2!$D:$D,Лист2!$A:$A,Лист1!$A295,Лист2!$B:$B,Лист1!$B295)</f>
        <v>1580</v>
      </c>
      <c r="G295" s="7">
        <f>SUMIFS(Лист2!$E:$E,Лист2!$A:$A,Лист1!$A295,Лист2!$B:$B,Лист1!$B295)</f>
        <v>1435</v>
      </c>
      <c r="H295" s="13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SUMIFS(Лист2!$C:$C,Лист2!$A:$A,Лист1!$A296,Лист2!$B:$B,Лист1!$B296)</f>
        <v>19</v>
      </c>
      <c r="F296" s="7">
        <f>SUMIFS(Лист2!$D:$D,Лист2!$A:$A,Лист1!$A296,Лист2!$B:$B,Лист1!$B296)</f>
        <v>1868</v>
      </c>
      <c r="G296" s="7">
        <f>SUMIFS(Лист2!$E:$E,Лист2!$A:$A,Лист1!$A296,Лист2!$B:$B,Лист1!$B296)</f>
        <v>1706</v>
      </c>
      <c r="H296" s="13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SUMIFS(Лист2!$C:$C,Лист2!$A:$A,Лист1!$A297,Лист2!$B:$B,Лист1!$B297)</f>
        <v>59</v>
      </c>
      <c r="F297" s="7">
        <f>SUMIFS(Лист2!$D:$D,Лист2!$A:$A,Лист1!$A297,Лист2!$B:$B,Лист1!$B297)</f>
        <v>13186</v>
      </c>
      <c r="G297" s="7">
        <f>SUMIFS(Лист2!$E:$E,Лист2!$A:$A,Лист1!$A297,Лист2!$B:$B,Лист1!$B297)</f>
        <v>12251</v>
      </c>
      <c r="H297" s="13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SUMIFS(Лист2!$C:$C,Лист2!$A:$A,Лист1!$A298,Лист2!$B:$B,Лист1!$B298)</f>
        <v>59</v>
      </c>
      <c r="F298" s="7">
        <f>SUMIFS(Лист2!$D:$D,Лист2!$A:$A,Лист1!$A298,Лист2!$B:$B,Лист1!$B298)</f>
        <v>12943</v>
      </c>
      <c r="G298" s="7">
        <f>SUMIFS(Лист2!$E:$E,Лист2!$A:$A,Лист1!$A298,Лист2!$B:$B,Лист1!$B298)</f>
        <v>12072</v>
      </c>
      <c r="H298" s="13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SUMIFS(Лист2!$C:$C,Лист2!$A:$A,Лист1!$A299,Лист2!$B:$B,Лист1!$B299)</f>
        <v>21</v>
      </c>
      <c r="F299" s="7">
        <f>SUMIFS(Лист2!$D:$D,Лист2!$A:$A,Лист1!$A299,Лист2!$B:$B,Лист1!$B299)</f>
        <v>2056</v>
      </c>
      <c r="G299" s="7">
        <f>SUMIFS(Лист2!$E:$E,Лист2!$A:$A,Лист1!$A299,Лист2!$B:$B,Лист1!$B299)</f>
        <v>1879</v>
      </c>
      <c r="H299" s="13">
        <f t="shared" si="8"/>
        <v>133063.07142857142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SUMIFS(Лист2!$C:$C,Лист2!$A:$A,Лист1!$A300,Лист2!$B:$B,Лист1!$B300)</f>
        <v>20</v>
      </c>
      <c r="F300" s="7">
        <f>SUMIFS(Лист2!$D:$D,Лист2!$A:$A,Лист1!$A300,Лист2!$B:$B,Лист1!$B300)</f>
        <v>2174</v>
      </c>
      <c r="G300" s="7">
        <f>SUMIFS(Лист2!$E:$E,Лист2!$A:$A,Лист1!$A300,Лист2!$B:$B,Лист1!$B300)</f>
        <v>1957</v>
      </c>
      <c r="H300" s="13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SUMIFS(Лист2!$C:$C,Лист2!$A:$A,Лист1!$A301,Лист2!$B:$B,Лист1!$B301)</f>
        <v>20</v>
      </c>
      <c r="F301" s="7">
        <f>SUMIFS(Лист2!$D:$D,Лист2!$A:$A,Лист1!$A301,Лист2!$B:$B,Лист1!$B301)</f>
        <v>1875</v>
      </c>
      <c r="G301" s="7">
        <f>SUMIFS(Лист2!$E:$E,Лист2!$A:$A,Лист1!$A301,Лист2!$B:$B,Лист1!$B301)</f>
        <v>1701</v>
      </c>
      <c r="H301" s="13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SUMIFS(Лист2!$C:$C,Лист2!$A:$A,Лист1!$A302,Лист2!$B:$B,Лист1!$B302)</f>
        <v>60</v>
      </c>
      <c r="F302" s="7">
        <f>SUMIFS(Лист2!$D:$D,Лист2!$A:$A,Лист1!$A302,Лист2!$B:$B,Лист1!$B302)</f>
        <v>14049</v>
      </c>
      <c r="G302" s="7">
        <f>SUMIFS(Лист2!$E:$E,Лист2!$A:$A,Лист1!$A302,Лист2!$B:$B,Лист1!$B302)</f>
        <v>13118</v>
      </c>
      <c r="H302" s="13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SUMIFS(Лист2!$C:$C,Лист2!$A:$A,Лист1!$A303,Лист2!$B:$B,Лист1!$B303)</f>
        <v>60</v>
      </c>
      <c r="F303" s="7">
        <f>SUMIFS(Лист2!$D:$D,Лист2!$A:$A,Лист1!$A303,Лист2!$B:$B,Лист1!$B303)</f>
        <v>13867</v>
      </c>
      <c r="G303" s="7">
        <f>SUMIFS(Лист2!$E:$E,Лист2!$A:$A,Лист1!$A303,Лист2!$B:$B,Лист1!$B303)</f>
        <v>12987</v>
      </c>
      <c r="H303" s="1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SUMIFS(Лист2!$C:$C,Лист2!$A:$A,Лист1!$A304,Лист2!$B:$B,Лист1!$B304)</f>
        <v>60</v>
      </c>
      <c r="F304" s="7">
        <f>SUMIFS(Лист2!$D:$D,Лист2!$A:$A,Лист1!$A304,Лист2!$B:$B,Лист1!$B304)</f>
        <v>11698</v>
      </c>
      <c r="G304" s="7">
        <f>SUMIFS(Лист2!$E:$E,Лист2!$A:$A,Лист1!$A304,Лист2!$B:$B,Лист1!$B304)</f>
        <v>10989</v>
      </c>
      <c r="H304" s="13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SUMIFS(Лист2!$C:$C,Лист2!$A:$A,Лист1!$A305,Лист2!$B:$B,Лист1!$B305)</f>
        <v>59</v>
      </c>
      <c r="F305" s="7">
        <f>SUMIFS(Лист2!$D:$D,Лист2!$A:$A,Лист1!$A305,Лист2!$B:$B,Лист1!$B305)</f>
        <v>12016</v>
      </c>
      <c r="G305" s="7">
        <f>SUMIFS(Лист2!$E:$E,Лист2!$A:$A,Лист1!$A305,Лист2!$B:$B,Лист1!$B305)</f>
        <v>11137</v>
      </c>
      <c r="H305" s="13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SUMIFS(Лист2!$C:$C,Лист2!$A:$A,Лист1!$A306,Лист2!$B:$B,Лист1!$B306)</f>
        <v>59</v>
      </c>
      <c r="F306" s="7">
        <f>SUMIFS(Лист2!$D:$D,Лист2!$A:$A,Лист1!$A306,Лист2!$B:$B,Лист1!$B306)</f>
        <v>14423</v>
      </c>
      <c r="G306" s="7">
        <f>SUMIFS(Лист2!$E:$E,Лист2!$A:$A,Лист1!$A306,Лист2!$B:$B,Лист1!$B306)</f>
        <v>13432</v>
      </c>
      <c r="H306" s="13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SUMIFS(Лист2!$C:$C,Лист2!$A:$A,Лист1!$A307,Лист2!$B:$B,Лист1!$B307)</f>
        <v>54</v>
      </c>
      <c r="F307" s="7">
        <f>SUMIFS(Лист2!$D:$D,Лист2!$A:$A,Лист1!$A307,Лист2!$B:$B,Лист1!$B307)</f>
        <v>12747</v>
      </c>
      <c r="G307" s="7">
        <f>SUMIFS(Лист2!$E:$E,Лист2!$A:$A,Лист1!$A307,Лист2!$B:$B,Лист1!$B307)</f>
        <v>11884</v>
      </c>
      <c r="H307" s="13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SUMIFS(Лист2!$C:$C,Лист2!$A:$A,Лист1!$A308,Лист2!$B:$B,Лист1!$B308)</f>
        <v>59</v>
      </c>
      <c r="F308" s="7">
        <f>SUMIFS(Лист2!$D:$D,Лист2!$A:$A,Лист1!$A308,Лист2!$B:$B,Лист1!$B308)</f>
        <v>12429</v>
      </c>
      <c r="G308" s="7">
        <f>SUMIFS(Лист2!$E:$E,Лист2!$A:$A,Лист1!$A308,Лист2!$B:$B,Лист1!$B308)</f>
        <v>11477</v>
      </c>
      <c r="H308" s="13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SUMIFS(Лист2!$C:$C,Лист2!$A:$A,Лист1!$A309,Лист2!$B:$B,Лист1!$B309)</f>
        <v>59</v>
      </c>
      <c r="F309" s="7">
        <f>SUMIFS(Лист2!$D:$D,Лист2!$A:$A,Лист1!$A309,Лист2!$B:$B,Лист1!$B309)</f>
        <v>15369</v>
      </c>
      <c r="G309" s="7">
        <f>SUMIFS(Лист2!$E:$E,Лист2!$A:$A,Лист1!$A309,Лист2!$B:$B,Лист1!$B309)</f>
        <v>14299</v>
      </c>
      <c r="H309" s="13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SUMIFS(Лист2!$C:$C,Лист2!$A:$A,Лист1!$A310,Лист2!$B:$B,Лист1!$B310)</f>
        <v>59</v>
      </c>
      <c r="F310" s="7">
        <f>SUMIFS(Лист2!$D:$D,Лист2!$A:$A,Лист1!$A310,Лист2!$B:$B,Лист1!$B310)</f>
        <v>15222</v>
      </c>
      <c r="G310" s="7">
        <f>SUMIFS(Лист2!$E:$E,Лист2!$A:$A,Лист1!$A310,Лист2!$B:$B,Лист1!$B310)</f>
        <v>13873</v>
      </c>
      <c r="H310" s="13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SUMIFS(Лист2!$C:$C,Лист2!$A:$A,Лист1!$A311,Лист2!$B:$B,Лист1!$B311)</f>
        <v>60</v>
      </c>
      <c r="F311" s="7">
        <f>SUMIFS(Лист2!$D:$D,Лист2!$A:$A,Лист1!$A311,Лист2!$B:$B,Лист1!$B311)</f>
        <v>12000</v>
      </c>
      <c r="G311" s="7">
        <f>SUMIFS(Лист2!$E:$E,Лист2!$A:$A,Лист1!$A311,Лист2!$B:$B,Лист1!$B311)</f>
        <v>11194</v>
      </c>
      <c r="H311" s="13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SUMIFS(Лист2!$C:$C,Лист2!$A:$A,Лист1!$A312,Лист2!$B:$B,Лист1!$B312)</f>
        <v>60</v>
      </c>
      <c r="F312" s="7">
        <f>SUMIFS(Лист2!$D:$D,Лист2!$A:$A,Лист1!$A312,Лист2!$B:$B,Лист1!$B312)</f>
        <v>14005</v>
      </c>
      <c r="G312" s="7">
        <f>SUMIFS(Лист2!$E:$E,Лист2!$A:$A,Лист1!$A312,Лист2!$B:$B,Лист1!$B312)</f>
        <v>13002</v>
      </c>
      <c r="H312" s="13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SUMIFS(Лист2!$C:$C,Лист2!$A:$A,Лист1!$A313,Лист2!$B:$B,Лист1!$B313)</f>
        <v>60</v>
      </c>
      <c r="F313" s="7">
        <f>SUMIFS(Лист2!$D:$D,Лист2!$A:$A,Лист1!$A313,Лист2!$B:$B,Лист1!$B313)</f>
        <v>13792</v>
      </c>
      <c r="G313" s="7">
        <f>SUMIFS(Лист2!$E:$E,Лист2!$A:$A,Лист1!$A313,Лист2!$B:$B,Лист1!$B313)</f>
        <v>12834</v>
      </c>
      <c r="H313" s="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SUMIFS(Лист2!$C:$C,Лист2!$A:$A,Лист1!$A314,Лист2!$B:$B,Лист1!$B314)</f>
        <v>59</v>
      </c>
      <c r="F314" s="7">
        <f>SUMIFS(Лист2!$D:$D,Лист2!$A:$A,Лист1!$A314,Лист2!$B:$B,Лист1!$B314)</f>
        <v>13469</v>
      </c>
      <c r="G314" s="7">
        <f>SUMIFS(Лист2!$E:$E,Лист2!$A:$A,Лист1!$A314,Лист2!$B:$B,Лист1!$B314)</f>
        <v>12486</v>
      </c>
      <c r="H314" s="13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SUMIFS(Лист2!$C:$C,Лист2!$A:$A,Лист1!$A315,Лист2!$B:$B,Лист1!$B315)</f>
        <v>54</v>
      </c>
      <c r="F315" s="7">
        <f>SUMIFS(Лист2!$D:$D,Лист2!$A:$A,Лист1!$A315,Лист2!$B:$B,Лист1!$B315)</f>
        <v>12306</v>
      </c>
      <c r="G315" s="7">
        <f>SUMIFS(Лист2!$E:$E,Лист2!$A:$A,Лист1!$A315,Лист2!$B:$B,Лист1!$B315)</f>
        <v>11532</v>
      </c>
      <c r="H315" s="13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SUMIFS(Лист2!$C:$C,Лист2!$A:$A,Лист1!$A316,Лист2!$B:$B,Лист1!$B316)</f>
        <v>60</v>
      </c>
      <c r="F316" s="7">
        <f>SUMIFS(Лист2!$D:$D,Лист2!$A:$A,Лист1!$A316,Лист2!$B:$B,Лист1!$B316)</f>
        <v>12007</v>
      </c>
      <c r="G316" s="7">
        <f>SUMIFS(Лист2!$E:$E,Лист2!$A:$A,Лист1!$A316,Лист2!$B:$B,Лист1!$B316)</f>
        <v>11245</v>
      </c>
      <c r="H316" s="13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SUMIFS(Лист2!$C:$C,Лист2!$A:$A,Лист1!$A317,Лист2!$B:$B,Лист1!$B317)</f>
        <v>59</v>
      </c>
      <c r="F317" s="7">
        <f>SUMIFS(Лист2!$D:$D,Лист2!$A:$A,Лист1!$A317,Лист2!$B:$B,Лист1!$B317)</f>
        <v>15277</v>
      </c>
      <c r="G317" s="7">
        <f>SUMIFS(Лист2!$E:$E,Лист2!$A:$A,Лист1!$A317,Лист2!$B:$B,Лист1!$B317)</f>
        <v>14163</v>
      </c>
      <c r="H317" s="13">
        <f t="shared" si="8"/>
        <v>449021.66949152545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SUMIFS(Лист2!$C:$C,Лист2!$A:$A,Лист1!$A318,Лист2!$B:$B,Лист1!$B318)</f>
        <v>59</v>
      </c>
      <c r="F318" s="7">
        <f>SUMIFS(Лист2!$D:$D,Лист2!$A:$A,Лист1!$A318,Лист2!$B:$B,Лист1!$B318)</f>
        <v>14103</v>
      </c>
      <c r="G318" s="7">
        <f>SUMIFS(Лист2!$E:$E,Лист2!$A:$A,Лист1!$A318,Лист2!$B:$B,Лист1!$B318)</f>
        <v>13118</v>
      </c>
      <c r="H318" s="13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SUMIFS(Лист2!$C:$C,Лист2!$A:$A,Лист1!$A319,Лист2!$B:$B,Лист1!$B319)</f>
        <v>60</v>
      </c>
      <c r="F319" s="7">
        <f>SUMIFS(Лист2!$D:$D,Лист2!$A:$A,Лист1!$A319,Лист2!$B:$B,Лист1!$B319)</f>
        <v>17295</v>
      </c>
      <c r="G319" s="7">
        <f>SUMIFS(Лист2!$E:$E,Лист2!$A:$A,Лист1!$A319,Лист2!$B:$B,Лист1!$B319)</f>
        <v>16010</v>
      </c>
      <c r="H319" s="13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SUMIFS(Лист2!$C:$C,Лист2!$A:$A,Лист1!$A320,Лист2!$B:$B,Лист1!$B320)</f>
        <v>59</v>
      </c>
      <c r="F320" s="7">
        <f>SUMIFS(Лист2!$D:$D,Лист2!$A:$A,Лист1!$A320,Лист2!$B:$B,Лист1!$B320)</f>
        <v>12983</v>
      </c>
      <c r="G320" s="7">
        <f>SUMIFS(Лист2!$E:$E,Лист2!$A:$A,Лист1!$A320,Лист2!$B:$B,Лист1!$B320)</f>
        <v>12056</v>
      </c>
      <c r="H320" s="13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SUMIFS(Лист2!$C:$C,Лист2!$A:$A,Лист1!$A321,Лист2!$B:$B,Лист1!$B321)</f>
        <v>59</v>
      </c>
      <c r="F321" s="7">
        <f>SUMIFS(Лист2!$D:$D,Лист2!$A:$A,Лист1!$A321,Лист2!$B:$B,Лист1!$B321)</f>
        <v>13251</v>
      </c>
      <c r="G321" s="7">
        <f>SUMIFS(Лист2!$E:$E,Лист2!$A:$A,Лист1!$A321,Лист2!$B:$B,Лист1!$B321)</f>
        <v>12255</v>
      </c>
      <c r="H321" s="13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SUMIFS(Лист2!$C:$C,Лист2!$A:$A,Лист1!$A322,Лист2!$B:$B,Лист1!$B322)</f>
        <v>59</v>
      </c>
      <c r="F322" s="7">
        <f>SUMIFS(Лист2!$D:$D,Лист2!$A:$A,Лист1!$A322,Лист2!$B:$B,Лист1!$B322)</f>
        <v>14569</v>
      </c>
      <c r="G322" s="7">
        <f>SUMIFS(Лист2!$E:$E,Лист2!$A:$A,Лист1!$A322,Лист2!$B:$B,Лист1!$B322)</f>
        <v>13566</v>
      </c>
      <c r="H322" s="13">
        <f t="shared" si="8"/>
        <v>421871.26271186443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SUMIFS(Лист2!$C:$C,Лист2!$A:$A,Лист1!$A323,Лист2!$B:$B,Лист1!$B323)</f>
        <v>59</v>
      </c>
      <c r="F323" s="7">
        <f>SUMIFS(Лист2!$D:$D,Лист2!$A:$A,Лист1!$A323,Лист2!$B:$B,Лист1!$B323)</f>
        <v>14098</v>
      </c>
      <c r="G323" s="7">
        <f>SUMIFS(Лист2!$E:$E,Лист2!$A:$A,Лист1!$A323,Лист2!$B:$B,Лист1!$B323)</f>
        <v>13106</v>
      </c>
      <c r="H323" s="13">
        <f t="shared" ref="H323:H386" si="10">D323/E323</f>
        <v>404778.78813559323</v>
      </c>
      <c r="I323">
        <f t="shared" ref="I323:I386" si="11">WEEKNUM(A323,2)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SUMIFS(Лист2!$C:$C,Лист2!$A:$A,Лист1!$A324,Лист2!$B:$B,Лист1!$B324)</f>
        <v>59</v>
      </c>
      <c r="F324" s="7">
        <f>SUMIFS(Лист2!$D:$D,Лист2!$A:$A,Лист1!$A324,Лист2!$B:$B,Лист1!$B324)</f>
        <v>13495</v>
      </c>
      <c r="G324" s="7">
        <f>SUMIFS(Лист2!$E:$E,Лист2!$A:$A,Лист1!$A324,Лист2!$B:$B,Лист1!$B324)</f>
        <v>12517</v>
      </c>
      <c r="H324" s="13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SUMIFS(Лист2!$C:$C,Лист2!$A:$A,Лист1!$A325,Лист2!$B:$B,Лист1!$B325)</f>
        <v>60</v>
      </c>
      <c r="F325" s="7">
        <f>SUMIFS(Лист2!$D:$D,Лист2!$A:$A,Лист1!$A325,Лист2!$B:$B,Лист1!$B325)</f>
        <v>12822</v>
      </c>
      <c r="G325" s="7">
        <f>SUMIFS(Лист2!$E:$E,Лист2!$A:$A,Лист1!$A325,Лист2!$B:$B,Лист1!$B325)</f>
        <v>11916</v>
      </c>
      <c r="H325" s="13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SUMIFS(Лист2!$C:$C,Лист2!$A:$A,Лист1!$A326,Лист2!$B:$B,Лист1!$B326)</f>
        <v>54</v>
      </c>
      <c r="F326" s="7">
        <f>SUMIFS(Лист2!$D:$D,Лист2!$A:$A,Лист1!$A326,Лист2!$B:$B,Лист1!$B326)</f>
        <v>13170</v>
      </c>
      <c r="G326" s="7">
        <f>SUMIFS(Лист2!$E:$E,Лист2!$A:$A,Лист1!$A326,Лист2!$B:$B,Лист1!$B326)</f>
        <v>12299</v>
      </c>
      <c r="H326" s="13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SUMIFS(Лист2!$C:$C,Лист2!$A:$A,Лист1!$A327,Лист2!$B:$B,Лист1!$B327)</f>
        <v>54</v>
      </c>
      <c r="F327" s="7">
        <f>SUMIFS(Лист2!$D:$D,Лист2!$A:$A,Лист1!$A327,Лист2!$B:$B,Лист1!$B327)</f>
        <v>13070</v>
      </c>
      <c r="G327" s="7">
        <f>SUMIFS(Лист2!$E:$E,Лист2!$A:$A,Лист1!$A327,Лист2!$B:$B,Лист1!$B327)</f>
        <v>12244</v>
      </c>
      <c r="H327" s="13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SUMIFS(Лист2!$C:$C,Лист2!$A:$A,Лист1!$A328,Лист2!$B:$B,Лист1!$B328)</f>
        <v>54</v>
      </c>
      <c r="F328" s="7">
        <f>SUMIFS(Лист2!$D:$D,Лист2!$A:$A,Лист1!$A328,Лист2!$B:$B,Лист1!$B328)</f>
        <v>11128</v>
      </c>
      <c r="G328" s="7">
        <f>SUMIFS(Лист2!$E:$E,Лист2!$A:$A,Лист1!$A328,Лист2!$B:$B,Лист1!$B328)</f>
        <v>10467</v>
      </c>
      <c r="H328" s="13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SUMIFS(Лист2!$C:$C,Лист2!$A:$A,Лист1!$A329,Лист2!$B:$B,Лист1!$B329)</f>
        <v>54</v>
      </c>
      <c r="F329" s="7">
        <f>SUMIFS(Лист2!$D:$D,Лист2!$A:$A,Лист1!$A329,Лист2!$B:$B,Лист1!$B329)</f>
        <v>11288</v>
      </c>
      <c r="G329" s="7">
        <f>SUMIFS(Лист2!$E:$E,Лист2!$A:$A,Лист1!$A329,Лист2!$B:$B,Лист1!$B329)</f>
        <v>10492</v>
      </c>
      <c r="H329" s="13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SUMIFS(Лист2!$C:$C,Лист2!$A:$A,Лист1!$A330,Лист2!$B:$B,Лист1!$B330)</f>
        <v>54</v>
      </c>
      <c r="F330" s="7">
        <f>SUMIFS(Лист2!$D:$D,Лист2!$A:$A,Лист1!$A330,Лист2!$B:$B,Лист1!$B330)</f>
        <v>13606</v>
      </c>
      <c r="G330" s="7">
        <f>SUMIFS(Лист2!$E:$E,Лист2!$A:$A,Лист1!$A330,Лист2!$B:$B,Лист1!$B330)</f>
        <v>12697</v>
      </c>
      <c r="H330" s="13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SUMIFS(Лист2!$C:$C,Лист2!$A:$A,Лист1!$A331,Лист2!$B:$B,Лист1!$B331)</f>
        <v>54</v>
      </c>
      <c r="F331" s="7">
        <f>SUMIFS(Лист2!$D:$D,Лист2!$A:$A,Лист1!$A331,Лист2!$B:$B,Лист1!$B331)</f>
        <v>11622</v>
      </c>
      <c r="G331" s="7">
        <f>SUMIFS(Лист2!$E:$E,Лист2!$A:$A,Лист1!$A331,Лист2!$B:$B,Лист1!$B331)</f>
        <v>10754</v>
      </c>
      <c r="H331" s="13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SUMIFS(Лист2!$C:$C,Лист2!$A:$A,Лист1!$A332,Лист2!$B:$B,Лист1!$B332)</f>
        <v>54</v>
      </c>
      <c r="F332" s="7">
        <f>SUMIFS(Лист2!$D:$D,Лист2!$A:$A,Лист1!$A332,Лист2!$B:$B,Лист1!$B332)</f>
        <v>14482</v>
      </c>
      <c r="G332" s="7">
        <f>SUMIFS(Лист2!$E:$E,Лист2!$A:$A,Лист1!$A332,Лист2!$B:$B,Лист1!$B332)</f>
        <v>13510</v>
      </c>
      <c r="H332" s="13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SUMIFS(Лист2!$C:$C,Лист2!$A:$A,Лист1!$A333,Лист2!$B:$B,Лист1!$B333)</f>
        <v>54</v>
      </c>
      <c r="F333" s="7">
        <f>SUMIFS(Лист2!$D:$D,Лист2!$A:$A,Лист1!$A333,Лист2!$B:$B,Лист1!$B333)</f>
        <v>14205</v>
      </c>
      <c r="G333" s="7">
        <f>SUMIFS(Лист2!$E:$E,Лист2!$A:$A,Лист1!$A333,Лист2!$B:$B,Лист1!$B333)</f>
        <v>13026</v>
      </c>
      <c r="H333" s="1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SUMIFS(Лист2!$C:$C,Лист2!$A:$A,Лист1!$A334,Лист2!$B:$B,Лист1!$B334)</f>
        <v>54</v>
      </c>
      <c r="F334" s="7">
        <f>SUMIFS(Лист2!$D:$D,Лист2!$A:$A,Лист1!$A334,Лист2!$B:$B,Лист1!$B334)</f>
        <v>11614</v>
      </c>
      <c r="G334" s="7">
        <f>SUMIFS(Лист2!$E:$E,Лист2!$A:$A,Лист1!$A334,Лист2!$B:$B,Лист1!$B334)</f>
        <v>10862</v>
      </c>
      <c r="H334" s="13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SUMIFS(Лист2!$C:$C,Лист2!$A:$A,Лист1!$A335,Лист2!$B:$B,Лист1!$B335)</f>
        <v>54</v>
      </c>
      <c r="F335" s="7">
        <f>SUMIFS(Лист2!$D:$D,Лист2!$A:$A,Лист1!$A335,Лист2!$B:$B,Лист1!$B335)</f>
        <v>13240</v>
      </c>
      <c r="G335" s="7">
        <f>SUMIFS(Лист2!$E:$E,Лист2!$A:$A,Лист1!$A335,Лист2!$B:$B,Лист1!$B335)</f>
        <v>12360</v>
      </c>
      <c r="H335" s="13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SUMIFS(Лист2!$C:$C,Лист2!$A:$A,Лист1!$A336,Лист2!$B:$B,Лист1!$B336)</f>
        <v>54</v>
      </c>
      <c r="F336" s="7">
        <f>SUMIFS(Лист2!$D:$D,Лист2!$A:$A,Лист1!$A336,Лист2!$B:$B,Лист1!$B336)</f>
        <v>13298</v>
      </c>
      <c r="G336" s="7">
        <f>SUMIFS(Лист2!$E:$E,Лист2!$A:$A,Лист1!$A336,Лист2!$B:$B,Лист1!$B336)</f>
        <v>12428</v>
      </c>
      <c r="H336" s="13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SUMIFS(Лист2!$C:$C,Лист2!$A:$A,Лист1!$A337,Лист2!$B:$B,Лист1!$B337)</f>
        <v>54</v>
      </c>
      <c r="F337" s="7">
        <f>SUMIFS(Лист2!$D:$D,Лист2!$A:$A,Лист1!$A337,Лист2!$B:$B,Лист1!$B337)</f>
        <v>12775</v>
      </c>
      <c r="G337" s="7">
        <f>SUMIFS(Лист2!$E:$E,Лист2!$A:$A,Лист1!$A337,Лист2!$B:$B,Лист1!$B337)</f>
        <v>11887</v>
      </c>
      <c r="H337" s="13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SUMIFS(Лист2!$C:$C,Лист2!$A:$A,Лист1!$A338,Лист2!$B:$B,Лист1!$B338)</f>
        <v>54</v>
      </c>
      <c r="F338" s="7">
        <f>SUMIFS(Лист2!$D:$D,Лист2!$A:$A,Лист1!$A338,Лист2!$B:$B,Лист1!$B338)</f>
        <v>11522</v>
      </c>
      <c r="G338" s="7">
        <f>SUMIFS(Лист2!$E:$E,Лист2!$A:$A,Лист1!$A338,Лист2!$B:$B,Лист1!$B338)</f>
        <v>10803</v>
      </c>
      <c r="H338" s="13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SUMIFS(Лист2!$C:$C,Лист2!$A:$A,Лист1!$A339,Лист2!$B:$B,Лист1!$B339)</f>
        <v>59</v>
      </c>
      <c r="F339" s="7">
        <f>SUMIFS(Лист2!$D:$D,Лист2!$A:$A,Лист1!$A339,Лист2!$B:$B,Лист1!$B339)</f>
        <v>13684</v>
      </c>
      <c r="G339" s="7">
        <f>SUMIFS(Лист2!$E:$E,Лист2!$A:$A,Лист1!$A339,Лист2!$B:$B,Лист1!$B339)</f>
        <v>12690</v>
      </c>
      <c r="H339" s="13">
        <f t="shared" si="10"/>
        <v>365852.82203389832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SUMIFS(Лист2!$C:$C,Лист2!$A:$A,Лист1!$A340,Лист2!$B:$B,Лист1!$B340)</f>
        <v>54</v>
      </c>
      <c r="F340" s="7">
        <f>SUMIFS(Лист2!$D:$D,Лист2!$A:$A,Лист1!$A340,Лист2!$B:$B,Лист1!$B340)</f>
        <v>14823</v>
      </c>
      <c r="G340" s="7">
        <f>SUMIFS(Лист2!$E:$E,Лист2!$A:$A,Лист1!$A340,Лист2!$B:$B,Лист1!$B340)</f>
        <v>13751</v>
      </c>
      <c r="H340" s="13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SUMIFS(Лист2!$C:$C,Лист2!$A:$A,Лист1!$A341,Лист2!$B:$B,Лист1!$B341)</f>
        <v>59</v>
      </c>
      <c r="F341" s="7">
        <f>SUMIFS(Лист2!$D:$D,Лист2!$A:$A,Лист1!$A341,Лист2!$B:$B,Лист1!$B341)</f>
        <v>15030</v>
      </c>
      <c r="G341" s="7">
        <f>SUMIFS(Лист2!$E:$E,Лист2!$A:$A,Лист1!$A341,Лист2!$B:$B,Лист1!$B341)</f>
        <v>13956</v>
      </c>
      <c r="H341" s="13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SUMIFS(Лист2!$C:$C,Лист2!$A:$A,Лист1!$A342,Лист2!$B:$B,Лист1!$B342)</f>
        <v>54</v>
      </c>
      <c r="F342" s="7">
        <f>SUMIFS(Лист2!$D:$D,Лист2!$A:$A,Лист1!$A342,Лист2!$B:$B,Лист1!$B342)</f>
        <v>13406</v>
      </c>
      <c r="G342" s="7">
        <f>SUMIFS(Лист2!$E:$E,Лист2!$A:$A,Лист1!$A342,Лист2!$B:$B,Лист1!$B342)</f>
        <v>12518</v>
      </c>
      <c r="H342" s="13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SUMIFS(Лист2!$C:$C,Лист2!$A:$A,Лист1!$A343,Лист2!$B:$B,Лист1!$B343)</f>
        <v>54</v>
      </c>
      <c r="F343" s="7">
        <f>SUMIFS(Лист2!$D:$D,Лист2!$A:$A,Лист1!$A343,Лист2!$B:$B,Лист1!$B343)</f>
        <v>16221</v>
      </c>
      <c r="G343" s="7">
        <f>SUMIFS(Лист2!$E:$E,Лист2!$A:$A,Лист1!$A343,Лист2!$B:$B,Лист1!$B343)</f>
        <v>15065</v>
      </c>
      <c r="H343" s="1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SUMIFS(Лист2!$C:$C,Лист2!$A:$A,Лист1!$A344,Лист2!$B:$B,Лист1!$B344)</f>
        <v>60</v>
      </c>
      <c r="F344" s="7">
        <f>SUMIFS(Лист2!$D:$D,Лист2!$A:$A,Лист1!$A344,Лист2!$B:$B,Лист1!$B344)</f>
        <v>12854</v>
      </c>
      <c r="G344" s="7">
        <f>SUMIFS(Лист2!$E:$E,Лист2!$A:$A,Лист1!$A344,Лист2!$B:$B,Лист1!$B344)</f>
        <v>11954</v>
      </c>
      <c r="H344" s="13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SUMIFS(Лист2!$C:$C,Лист2!$A:$A,Лист1!$A345,Лист2!$B:$B,Лист1!$B345)</f>
        <v>54</v>
      </c>
      <c r="F345" s="7">
        <f>SUMIFS(Лист2!$D:$D,Лист2!$A:$A,Лист1!$A345,Лист2!$B:$B,Лист1!$B345)</f>
        <v>12336</v>
      </c>
      <c r="G345" s="7">
        <f>SUMIFS(Лист2!$E:$E,Лист2!$A:$A,Лист1!$A345,Лист2!$B:$B,Лист1!$B345)</f>
        <v>11519</v>
      </c>
      <c r="H345" s="13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SUMIFS(Лист2!$C:$C,Лист2!$A:$A,Лист1!$A346,Лист2!$B:$B,Лист1!$B346)</f>
        <v>54</v>
      </c>
      <c r="F346" s="7">
        <f>SUMIFS(Лист2!$D:$D,Лист2!$A:$A,Лист1!$A346,Лист2!$B:$B,Лист1!$B346)</f>
        <v>12817</v>
      </c>
      <c r="G346" s="7">
        <f>SUMIFS(Лист2!$E:$E,Лист2!$A:$A,Лист1!$A346,Лист2!$B:$B,Лист1!$B346)</f>
        <v>11865</v>
      </c>
      <c r="H346" s="13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SUMIFS(Лист2!$C:$C,Лист2!$A:$A,Лист1!$A347,Лист2!$B:$B,Лист1!$B347)</f>
        <v>54</v>
      </c>
      <c r="F347" s="7">
        <f>SUMIFS(Лист2!$D:$D,Лист2!$A:$A,Лист1!$A347,Лист2!$B:$B,Лист1!$B347)</f>
        <v>13832</v>
      </c>
      <c r="G347" s="7">
        <f>SUMIFS(Лист2!$E:$E,Лист2!$A:$A,Лист1!$A347,Лист2!$B:$B,Лист1!$B347)</f>
        <v>12864</v>
      </c>
      <c r="H347" s="13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SUMIFS(Лист2!$C:$C,Лист2!$A:$A,Лист1!$A348,Лист2!$B:$B,Лист1!$B348)</f>
        <v>54</v>
      </c>
      <c r="F348" s="7">
        <f>SUMIFS(Лист2!$D:$D,Лист2!$A:$A,Лист1!$A348,Лист2!$B:$B,Лист1!$B348)</f>
        <v>13563</v>
      </c>
      <c r="G348" s="7">
        <f>SUMIFS(Лист2!$E:$E,Лист2!$A:$A,Лист1!$A348,Лист2!$B:$B,Лист1!$B348)</f>
        <v>12604</v>
      </c>
      <c r="H348" s="13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SUMIFS(Лист2!$C:$C,Лист2!$A:$A,Лист1!$A349,Лист2!$B:$B,Лист1!$B349)</f>
        <v>54</v>
      </c>
      <c r="F349" s="7">
        <f>SUMIFS(Лист2!$D:$D,Лист2!$A:$A,Лист1!$A349,Лист2!$B:$B,Лист1!$B349)</f>
        <v>12743</v>
      </c>
      <c r="G349" s="7">
        <f>SUMIFS(Лист2!$E:$E,Лист2!$A:$A,Лист1!$A349,Лист2!$B:$B,Лист1!$B349)</f>
        <v>11858</v>
      </c>
      <c r="H349" s="13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SUMIFS(Лист2!$C:$C,Лист2!$A:$A,Лист1!$A350,Лист2!$B:$B,Лист1!$B350)</f>
        <v>54</v>
      </c>
      <c r="F350" s="7">
        <f>SUMIFS(Лист2!$D:$D,Лист2!$A:$A,Лист1!$A350,Лист2!$B:$B,Лист1!$B350)</f>
        <v>12211</v>
      </c>
      <c r="G350" s="7">
        <f>SUMIFS(Лист2!$E:$E,Лист2!$A:$A,Лист1!$A350,Лист2!$B:$B,Лист1!$B350)</f>
        <v>11427</v>
      </c>
      <c r="H350" s="13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SUMIFS(Лист2!$C:$C,Лист2!$A:$A,Лист1!$A351,Лист2!$B:$B,Лист1!$B351)</f>
        <v>15</v>
      </c>
      <c r="F351" s="7">
        <f>SUMIFS(Лист2!$D:$D,Лист2!$A:$A,Лист1!$A351,Лист2!$B:$B,Лист1!$B351)</f>
        <v>659</v>
      </c>
      <c r="G351" s="7">
        <f>SUMIFS(Лист2!$E:$E,Лист2!$A:$A,Лист1!$A351,Лист2!$B:$B,Лист1!$B351)</f>
        <v>575</v>
      </c>
      <c r="H351" s="13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SUMIFS(Лист2!$C:$C,Лист2!$A:$A,Лист1!$A352,Лист2!$B:$B,Лист1!$B352)</f>
        <v>15</v>
      </c>
      <c r="F352" s="7">
        <f>SUMIFS(Лист2!$D:$D,Лист2!$A:$A,Лист1!$A352,Лист2!$B:$B,Лист1!$B352)</f>
        <v>636</v>
      </c>
      <c r="G352" s="7">
        <f>SUMIFS(Лист2!$E:$E,Лист2!$A:$A,Лист1!$A352,Лист2!$B:$B,Лист1!$B352)</f>
        <v>547</v>
      </c>
      <c r="H352" s="13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SUMIFS(Лист2!$C:$C,Лист2!$A:$A,Лист1!$A353,Лист2!$B:$B,Лист1!$B353)</f>
        <v>54</v>
      </c>
      <c r="F353" s="7">
        <f>SUMIFS(Лист2!$D:$D,Лист2!$A:$A,Лист1!$A353,Лист2!$B:$B,Лист1!$B353)</f>
        <v>13106</v>
      </c>
      <c r="G353" s="7">
        <f>SUMIFS(Лист2!$E:$E,Лист2!$A:$A,Лист1!$A353,Лист2!$B:$B,Лист1!$B353)</f>
        <v>12164</v>
      </c>
      <c r="H353" s="13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SUMIFS(Лист2!$C:$C,Лист2!$A:$A,Лист1!$A354,Лист2!$B:$B,Лист1!$B354)</f>
        <v>54</v>
      </c>
      <c r="F354" s="7">
        <f>SUMIFS(Лист2!$D:$D,Лист2!$A:$A,Лист1!$A354,Лист2!$B:$B,Лист1!$B354)</f>
        <v>14590</v>
      </c>
      <c r="G354" s="7">
        <f>SUMIFS(Лист2!$E:$E,Лист2!$A:$A,Лист1!$A354,Лист2!$B:$B,Лист1!$B354)</f>
        <v>13551</v>
      </c>
      <c r="H354" s="13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SUMIFS(Лист2!$C:$C,Лист2!$A:$A,Лист1!$A355,Лист2!$B:$B,Лист1!$B355)</f>
        <v>54</v>
      </c>
      <c r="F355" s="7">
        <f>SUMIFS(Лист2!$D:$D,Лист2!$A:$A,Лист1!$A355,Лист2!$B:$B,Лист1!$B355)</f>
        <v>12409</v>
      </c>
      <c r="G355" s="7">
        <f>SUMIFS(Лист2!$E:$E,Лист2!$A:$A,Лист1!$A355,Лист2!$B:$B,Лист1!$B355)</f>
        <v>11582</v>
      </c>
      <c r="H355" s="13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SUMIFS(Лист2!$C:$C,Лист2!$A:$A,Лист1!$A356,Лист2!$B:$B,Лист1!$B356)</f>
        <v>16</v>
      </c>
      <c r="F356" s="7">
        <f>SUMIFS(Лист2!$D:$D,Лист2!$A:$A,Лист1!$A356,Лист2!$B:$B,Лист1!$B356)</f>
        <v>920</v>
      </c>
      <c r="G356" s="7">
        <f>SUMIFS(Лист2!$E:$E,Лист2!$A:$A,Лист1!$A356,Лист2!$B:$B,Лист1!$B356)</f>
        <v>818</v>
      </c>
      <c r="H356" s="13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SUMIFS(Лист2!$C:$C,Лист2!$A:$A,Лист1!$A357,Лист2!$B:$B,Лист1!$B357)</f>
        <v>17</v>
      </c>
      <c r="F357" s="7">
        <f>SUMIFS(Лист2!$D:$D,Лист2!$A:$A,Лист1!$A357,Лист2!$B:$B,Лист1!$B357)</f>
        <v>857</v>
      </c>
      <c r="G357" s="7">
        <f>SUMIFS(Лист2!$E:$E,Лист2!$A:$A,Лист1!$A357,Лист2!$B:$B,Лист1!$B357)</f>
        <v>757</v>
      </c>
      <c r="H357" s="13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SUMIFS(Лист2!$C:$C,Лист2!$A:$A,Лист1!$A358,Лист2!$B:$B,Лист1!$B358)</f>
        <v>16</v>
      </c>
      <c r="F358" s="7">
        <f>SUMIFS(Лист2!$D:$D,Лист2!$A:$A,Лист1!$A358,Лист2!$B:$B,Лист1!$B358)</f>
        <v>859</v>
      </c>
      <c r="G358" s="7">
        <f>SUMIFS(Лист2!$E:$E,Лист2!$A:$A,Лист1!$A358,Лист2!$B:$B,Лист1!$B358)</f>
        <v>746</v>
      </c>
      <c r="H358" s="13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SUMIFS(Лист2!$C:$C,Лист2!$A:$A,Лист1!$A359,Лист2!$B:$B,Лист1!$B359)</f>
        <v>15</v>
      </c>
      <c r="F359" s="7">
        <f>SUMIFS(Лист2!$D:$D,Лист2!$A:$A,Лист1!$A359,Лист2!$B:$B,Лист1!$B359)</f>
        <v>654</v>
      </c>
      <c r="G359" s="7">
        <f>SUMIFS(Лист2!$E:$E,Лист2!$A:$A,Лист1!$A359,Лист2!$B:$B,Лист1!$B359)</f>
        <v>570</v>
      </c>
      <c r="H359" s="13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SUMIFS(Лист2!$C:$C,Лист2!$A:$A,Лист1!$A360,Лист2!$B:$B,Лист1!$B360)</f>
        <v>15</v>
      </c>
      <c r="F360" s="7">
        <f>SUMIFS(Лист2!$D:$D,Лист2!$A:$A,Лист1!$A360,Лист2!$B:$B,Лист1!$B360)</f>
        <v>622</v>
      </c>
      <c r="G360" s="7">
        <f>SUMIFS(Лист2!$E:$E,Лист2!$A:$A,Лист1!$A360,Лист2!$B:$B,Лист1!$B360)</f>
        <v>538</v>
      </c>
      <c r="H360" s="13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SUMIFS(Лист2!$C:$C,Лист2!$A:$A,Лист1!$A361,Лист2!$B:$B,Лист1!$B361)</f>
        <v>15</v>
      </c>
      <c r="F361" s="7">
        <f>SUMIFS(Лист2!$D:$D,Лист2!$A:$A,Лист1!$A361,Лист2!$B:$B,Лист1!$B361)</f>
        <v>567</v>
      </c>
      <c r="G361" s="7">
        <f>SUMIFS(Лист2!$E:$E,Лист2!$A:$A,Лист1!$A361,Лист2!$B:$B,Лист1!$B361)</f>
        <v>493</v>
      </c>
      <c r="H361" s="13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SUMIFS(Лист2!$C:$C,Лист2!$A:$A,Лист1!$A362,Лист2!$B:$B,Лист1!$B362)</f>
        <v>7</v>
      </c>
      <c r="F362" s="7">
        <f>SUMIFS(Лист2!$D:$D,Лист2!$A:$A,Лист1!$A362,Лист2!$B:$B,Лист1!$B362)</f>
        <v>577</v>
      </c>
      <c r="G362" s="7">
        <f>SUMIFS(Лист2!$E:$E,Лист2!$A:$A,Лист1!$A362,Лист2!$B:$B,Лист1!$B362)</f>
        <v>389</v>
      </c>
      <c r="H362" s="13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SUMIFS(Лист2!$C:$C,Лист2!$A:$A,Лист1!$A363,Лист2!$B:$B,Лист1!$B363)</f>
        <v>15</v>
      </c>
      <c r="F363" s="7">
        <f>SUMIFS(Лист2!$D:$D,Лист2!$A:$A,Лист1!$A363,Лист2!$B:$B,Лист1!$B363)</f>
        <v>721</v>
      </c>
      <c r="G363" s="7">
        <f>SUMIFS(Лист2!$E:$E,Лист2!$A:$A,Лист1!$A363,Лист2!$B:$B,Лист1!$B363)</f>
        <v>625</v>
      </c>
      <c r="H363" s="13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SUMIFS(Лист2!$C:$C,Лист2!$A:$A,Лист1!$A364,Лист2!$B:$B,Лист1!$B364)</f>
        <v>15</v>
      </c>
      <c r="F364" s="7">
        <f>SUMIFS(Лист2!$D:$D,Лист2!$A:$A,Лист1!$A364,Лист2!$B:$B,Лист1!$B364)</f>
        <v>750</v>
      </c>
      <c r="G364" s="7">
        <f>SUMIFS(Лист2!$E:$E,Лист2!$A:$A,Лист1!$A364,Лист2!$B:$B,Лист1!$B364)</f>
        <v>659</v>
      </c>
      <c r="H364" s="13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SUMIFS(Лист2!$C:$C,Лист2!$A:$A,Лист1!$A365,Лист2!$B:$B,Лист1!$B365)</f>
        <v>18</v>
      </c>
      <c r="F365" s="7">
        <f>SUMIFS(Лист2!$D:$D,Лист2!$A:$A,Лист1!$A365,Лист2!$B:$B,Лист1!$B365)</f>
        <v>888</v>
      </c>
      <c r="G365" s="7">
        <f>SUMIFS(Лист2!$E:$E,Лист2!$A:$A,Лист1!$A365,Лист2!$B:$B,Лист1!$B365)</f>
        <v>786</v>
      </c>
      <c r="H365" s="13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SUMIFS(Лист2!$C:$C,Лист2!$A:$A,Лист1!$A366,Лист2!$B:$B,Лист1!$B366)</f>
        <v>17</v>
      </c>
      <c r="F366" s="7">
        <f>SUMIFS(Лист2!$D:$D,Лист2!$A:$A,Лист1!$A366,Лист2!$B:$B,Лист1!$B366)</f>
        <v>890</v>
      </c>
      <c r="G366" s="7">
        <f>SUMIFS(Лист2!$E:$E,Лист2!$A:$A,Лист1!$A366,Лист2!$B:$B,Лист1!$B366)</f>
        <v>794</v>
      </c>
      <c r="H366" s="13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SUMIFS(Лист2!$C:$C,Лист2!$A:$A,Лист1!$A367,Лист2!$B:$B,Лист1!$B367)</f>
        <v>15</v>
      </c>
      <c r="F367" s="7">
        <f>SUMIFS(Лист2!$D:$D,Лист2!$A:$A,Лист1!$A367,Лист2!$B:$B,Лист1!$B367)</f>
        <v>750</v>
      </c>
      <c r="G367" s="7">
        <f>SUMIFS(Лист2!$E:$E,Лист2!$A:$A,Лист1!$A367,Лист2!$B:$B,Лист1!$B367)</f>
        <v>658</v>
      </c>
      <c r="H367" s="13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SUMIFS(Лист2!$C:$C,Лист2!$A:$A,Лист1!$A368,Лист2!$B:$B,Лист1!$B368)</f>
        <v>15</v>
      </c>
      <c r="F368" s="7">
        <f>SUMIFS(Лист2!$D:$D,Лист2!$A:$A,Лист1!$A368,Лист2!$B:$B,Лист1!$B368)</f>
        <v>854</v>
      </c>
      <c r="G368" s="7">
        <f>SUMIFS(Лист2!$E:$E,Лист2!$A:$A,Лист1!$A368,Лист2!$B:$B,Лист1!$B368)</f>
        <v>756</v>
      </c>
      <c r="H368" s="13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SUMIFS(Лист2!$C:$C,Лист2!$A:$A,Лист1!$A369,Лист2!$B:$B,Лист1!$B369)</f>
        <v>15</v>
      </c>
      <c r="F369" s="7">
        <f>SUMIFS(Лист2!$D:$D,Лист2!$A:$A,Лист1!$A369,Лист2!$B:$B,Лист1!$B369)</f>
        <v>585</v>
      </c>
      <c r="G369" s="7">
        <f>SUMIFS(Лист2!$E:$E,Лист2!$A:$A,Лист1!$A369,Лист2!$B:$B,Лист1!$B369)</f>
        <v>502</v>
      </c>
      <c r="H369" s="13">
        <f t="shared" si="10"/>
        <v>54410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SUMIFS(Лист2!$C:$C,Лист2!$A:$A,Лист1!$A370,Лист2!$B:$B,Лист1!$B370)</f>
        <v>15</v>
      </c>
      <c r="F370" s="7">
        <f>SUMIFS(Лист2!$D:$D,Лист2!$A:$A,Лист1!$A370,Лист2!$B:$B,Лист1!$B370)</f>
        <v>701</v>
      </c>
      <c r="G370" s="7">
        <f>SUMIFS(Лист2!$E:$E,Лист2!$A:$A,Лист1!$A370,Лист2!$B:$B,Лист1!$B370)</f>
        <v>611</v>
      </c>
      <c r="H370" s="13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SUMIFS(Лист2!$C:$C,Лист2!$A:$A,Лист1!$A371,Лист2!$B:$B,Лист1!$B371)</f>
        <v>18</v>
      </c>
      <c r="F371" s="7">
        <f>SUMIFS(Лист2!$D:$D,Лист2!$A:$A,Лист1!$A371,Лист2!$B:$B,Лист1!$B371)</f>
        <v>1031</v>
      </c>
      <c r="G371" s="7">
        <f>SUMIFS(Лист2!$E:$E,Лист2!$A:$A,Лист1!$A371,Лист2!$B:$B,Лист1!$B371)</f>
        <v>918</v>
      </c>
      <c r="H371" s="13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SUMIFS(Лист2!$C:$C,Лист2!$A:$A,Лист1!$A372,Лист2!$B:$B,Лист1!$B372)</f>
        <v>18</v>
      </c>
      <c r="F372" s="7">
        <f>SUMIFS(Лист2!$D:$D,Лист2!$A:$A,Лист1!$A372,Лист2!$B:$B,Лист1!$B372)</f>
        <v>989</v>
      </c>
      <c r="G372" s="7">
        <f>SUMIFS(Лист2!$E:$E,Лист2!$A:$A,Лист1!$A372,Лист2!$B:$B,Лист1!$B372)</f>
        <v>887</v>
      </c>
      <c r="H372" s="13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SUMIFS(Лист2!$C:$C,Лист2!$A:$A,Лист1!$A373,Лист2!$B:$B,Лист1!$B373)</f>
        <v>15</v>
      </c>
      <c r="F373" s="7">
        <f>SUMIFS(Лист2!$D:$D,Лист2!$A:$A,Лист1!$A373,Лист2!$B:$B,Лист1!$B373)</f>
        <v>644</v>
      </c>
      <c r="G373" s="7">
        <f>SUMIFS(Лист2!$E:$E,Лист2!$A:$A,Лист1!$A373,Лист2!$B:$B,Лист1!$B373)</f>
        <v>550</v>
      </c>
      <c r="H373" s="13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SUMIFS(Лист2!$C:$C,Лист2!$A:$A,Лист1!$A374,Лист2!$B:$B,Лист1!$B374)</f>
        <v>15</v>
      </c>
      <c r="F374" s="7">
        <f>SUMIFS(Лист2!$D:$D,Лист2!$A:$A,Лист1!$A374,Лист2!$B:$B,Лист1!$B374)</f>
        <v>792</v>
      </c>
      <c r="G374" s="7">
        <f>SUMIFS(Лист2!$E:$E,Лист2!$A:$A,Лист1!$A374,Лист2!$B:$B,Лист1!$B374)</f>
        <v>695</v>
      </c>
      <c r="H374" s="13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SUMIFS(Лист2!$C:$C,Лист2!$A:$A,Лист1!$A375,Лист2!$B:$B,Лист1!$B375)</f>
        <v>15</v>
      </c>
      <c r="F375" s="7">
        <f>SUMIFS(Лист2!$D:$D,Лист2!$A:$A,Лист1!$A375,Лист2!$B:$B,Лист1!$B375)</f>
        <v>703</v>
      </c>
      <c r="G375" s="7">
        <f>SUMIFS(Лист2!$E:$E,Лист2!$A:$A,Лист1!$A375,Лист2!$B:$B,Лист1!$B375)</f>
        <v>609</v>
      </c>
      <c r="H375" s="13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SUMIFS(Лист2!$C:$C,Лист2!$A:$A,Лист1!$A376,Лист2!$B:$B,Лист1!$B376)</f>
        <v>15</v>
      </c>
      <c r="F376" s="7">
        <f>SUMIFS(Лист2!$D:$D,Лист2!$A:$A,Лист1!$A376,Лист2!$B:$B,Лист1!$B376)</f>
        <v>676</v>
      </c>
      <c r="G376" s="7">
        <f>SUMIFS(Лист2!$E:$E,Лист2!$A:$A,Лист1!$A376,Лист2!$B:$B,Лист1!$B376)</f>
        <v>591</v>
      </c>
      <c r="H376" s="13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SUMIFS(Лист2!$C:$C,Лист2!$A:$A,Лист1!$A377,Лист2!$B:$B,Лист1!$B377)</f>
        <v>18</v>
      </c>
      <c r="F377" s="7">
        <f>SUMIFS(Лист2!$D:$D,Лист2!$A:$A,Лист1!$A377,Лист2!$B:$B,Лист1!$B377)</f>
        <v>1006</v>
      </c>
      <c r="G377" s="7">
        <f>SUMIFS(Лист2!$E:$E,Лист2!$A:$A,Лист1!$A377,Лист2!$B:$B,Лист1!$B377)</f>
        <v>904</v>
      </c>
      <c r="H377" s="13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SUMIFS(Лист2!$C:$C,Лист2!$A:$A,Лист1!$A378,Лист2!$B:$B,Лист1!$B378)</f>
        <v>18</v>
      </c>
      <c r="F378" s="7">
        <f>SUMIFS(Лист2!$D:$D,Лист2!$A:$A,Лист1!$A378,Лист2!$B:$B,Лист1!$B378)</f>
        <v>914</v>
      </c>
      <c r="G378" s="7">
        <f>SUMIFS(Лист2!$E:$E,Лист2!$A:$A,Лист1!$A378,Лист2!$B:$B,Лист1!$B378)</f>
        <v>804</v>
      </c>
      <c r="H378" s="13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SUMIFS(Лист2!$C:$C,Лист2!$A:$A,Лист1!$A379,Лист2!$B:$B,Лист1!$B379)</f>
        <v>15</v>
      </c>
      <c r="F379" s="7">
        <f>SUMIFS(Лист2!$D:$D,Лист2!$A:$A,Лист1!$A379,Лист2!$B:$B,Лист1!$B379)</f>
        <v>453</v>
      </c>
      <c r="G379" s="7">
        <f>SUMIFS(Лист2!$E:$E,Лист2!$A:$A,Лист1!$A379,Лист2!$B:$B,Лист1!$B379)</f>
        <v>370</v>
      </c>
      <c r="H379" s="13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SUMIFS(Лист2!$C:$C,Лист2!$A:$A,Лист1!$A380,Лист2!$B:$B,Лист1!$B380)</f>
        <v>9</v>
      </c>
      <c r="F380" s="7">
        <f>SUMIFS(Лист2!$D:$D,Лист2!$A:$A,Лист1!$A380,Лист2!$B:$B,Лист1!$B380)</f>
        <v>345</v>
      </c>
      <c r="G380" s="7">
        <f>SUMIFS(Лист2!$E:$E,Лист2!$A:$A,Лист1!$A380,Лист2!$B:$B,Лист1!$B380)</f>
        <v>255</v>
      </c>
      <c r="H380" s="13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SUMIFS(Лист2!$C:$C,Лист2!$A:$A,Лист1!$A381,Лист2!$B:$B,Лист1!$B381)</f>
        <v>7</v>
      </c>
      <c r="F381" s="7">
        <f>SUMIFS(Лист2!$D:$D,Лист2!$A:$A,Лист1!$A381,Лист2!$B:$B,Лист1!$B381)</f>
        <v>532</v>
      </c>
      <c r="G381" s="7">
        <f>SUMIFS(Лист2!$E:$E,Лист2!$A:$A,Лист1!$A381,Лист2!$B:$B,Лист1!$B381)</f>
        <v>449</v>
      </c>
      <c r="H381" s="13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SUMIFS(Лист2!$C:$C,Лист2!$A:$A,Лист1!$A382,Лист2!$B:$B,Лист1!$B382)</f>
        <v>15</v>
      </c>
      <c r="F382" s="7">
        <f>SUMIFS(Лист2!$D:$D,Лист2!$A:$A,Лист1!$A382,Лист2!$B:$B,Лист1!$B382)</f>
        <v>400</v>
      </c>
      <c r="G382" s="7">
        <f>SUMIFS(Лист2!$E:$E,Лист2!$A:$A,Лист1!$A382,Лист2!$B:$B,Лист1!$B382)</f>
        <v>329</v>
      </c>
      <c r="H382" s="13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SUMIFS(Лист2!$C:$C,Лист2!$A:$A,Лист1!$A383,Лист2!$B:$B,Лист1!$B383)</f>
        <v>7</v>
      </c>
      <c r="F383" s="7">
        <f>SUMIFS(Лист2!$D:$D,Лист2!$A:$A,Лист1!$A383,Лист2!$B:$B,Лист1!$B383)</f>
        <v>420</v>
      </c>
      <c r="G383" s="7">
        <f>SUMIFS(Лист2!$E:$E,Лист2!$A:$A,Лист1!$A383,Лист2!$B:$B,Лист1!$B383)</f>
        <v>347</v>
      </c>
      <c r="H383" s="1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SUMIFS(Лист2!$C:$C,Лист2!$A:$A,Лист1!$A384,Лист2!$B:$B,Лист1!$B384)</f>
        <v>20</v>
      </c>
      <c r="F384" s="7">
        <f>SUMIFS(Лист2!$D:$D,Лист2!$A:$A,Лист1!$A384,Лист2!$B:$B,Лист1!$B384)</f>
        <v>2079</v>
      </c>
      <c r="G384" s="7">
        <f>SUMIFS(Лист2!$E:$E,Лист2!$A:$A,Лист1!$A384,Лист2!$B:$B,Лист1!$B384)</f>
        <v>1893</v>
      </c>
      <c r="H384" s="13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SUMIFS(Лист2!$C:$C,Лист2!$A:$A,Лист1!$A385,Лист2!$B:$B,Лист1!$B385)</f>
        <v>21</v>
      </c>
      <c r="F385" s="7">
        <f>SUMIFS(Лист2!$D:$D,Лист2!$A:$A,Лист1!$A385,Лист2!$B:$B,Лист1!$B385)</f>
        <v>2046</v>
      </c>
      <c r="G385" s="7">
        <f>SUMIFS(Лист2!$E:$E,Лист2!$A:$A,Лист1!$A385,Лист2!$B:$B,Лист1!$B385)</f>
        <v>1853</v>
      </c>
      <c r="H385" s="13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SUMIFS(Лист2!$C:$C,Лист2!$A:$A,Лист1!$A386,Лист2!$B:$B,Лист1!$B386)</f>
        <v>6</v>
      </c>
      <c r="F386" s="7">
        <f>SUMIFS(Лист2!$D:$D,Лист2!$A:$A,Лист1!$A386,Лист2!$B:$B,Лист1!$B386)</f>
        <v>261</v>
      </c>
      <c r="G386" s="7">
        <f>SUMIFS(Лист2!$E:$E,Лист2!$A:$A,Лист1!$A386,Лист2!$B:$B,Лист1!$B386)</f>
        <v>188</v>
      </c>
      <c r="H386" s="13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SUMIFS(Лист2!$C:$C,Лист2!$A:$A,Лист1!$A387,Лист2!$B:$B,Лист1!$B387)</f>
        <v>21</v>
      </c>
      <c r="F387" s="7">
        <f>SUMIFS(Лист2!$D:$D,Лист2!$A:$A,Лист1!$A387,Лист2!$B:$B,Лист1!$B387)</f>
        <v>1597</v>
      </c>
      <c r="G387" s="7">
        <f>SUMIFS(Лист2!$E:$E,Лист2!$A:$A,Лист1!$A387,Лист2!$B:$B,Лист1!$B387)</f>
        <v>1457</v>
      </c>
      <c r="H387" s="13">
        <f t="shared" ref="H387:H450" si="12">D387/E387</f>
        <v>118066.5</v>
      </c>
      <c r="I387">
        <f t="shared" ref="I387:I450" si="13">WEEKNUM(A387,2)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SUMIFS(Лист2!$C:$C,Лист2!$A:$A,Лист1!$A388,Лист2!$B:$B,Лист1!$B388)</f>
        <v>18</v>
      </c>
      <c r="F388" s="7">
        <f>SUMIFS(Лист2!$D:$D,Лист2!$A:$A,Лист1!$A388,Лист2!$B:$B,Лист1!$B388)</f>
        <v>1216</v>
      </c>
      <c r="G388" s="7">
        <f>SUMIFS(Лист2!$E:$E,Лист2!$A:$A,Лист1!$A388,Лист2!$B:$B,Лист1!$B388)</f>
        <v>1101</v>
      </c>
      <c r="H388" s="13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SUMIFS(Лист2!$C:$C,Лист2!$A:$A,Лист1!$A389,Лист2!$B:$B,Лист1!$B389)</f>
        <v>18</v>
      </c>
      <c r="F389" s="7">
        <f>SUMIFS(Лист2!$D:$D,Лист2!$A:$A,Лист1!$A389,Лист2!$B:$B,Лист1!$B389)</f>
        <v>1020</v>
      </c>
      <c r="G389" s="7">
        <f>SUMIFS(Лист2!$E:$E,Лист2!$A:$A,Лист1!$A389,Лист2!$B:$B,Лист1!$B389)</f>
        <v>911</v>
      </c>
      <c r="H389" s="13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SUMIFS(Лист2!$C:$C,Лист2!$A:$A,Лист1!$A390,Лист2!$B:$B,Лист1!$B390)</f>
        <v>21</v>
      </c>
      <c r="F390" s="7">
        <f>SUMIFS(Лист2!$D:$D,Лист2!$A:$A,Лист1!$A390,Лист2!$B:$B,Лист1!$B390)</f>
        <v>1834</v>
      </c>
      <c r="G390" s="7">
        <f>SUMIFS(Лист2!$E:$E,Лист2!$A:$A,Лист1!$A390,Лист2!$B:$B,Лист1!$B390)</f>
        <v>1660</v>
      </c>
      <c r="H390" s="13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SUMIFS(Лист2!$C:$C,Лист2!$A:$A,Лист1!$A391,Лист2!$B:$B,Лист1!$B391)</f>
        <v>21</v>
      </c>
      <c r="F391" s="7">
        <f>SUMIFS(Лист2!$D:$D,Лист2!$A:$A,Лист1!$A391,Лист2!$B:$B,Лист1!$B391)</f>
        <v>1706</v>
      </c>
      <c r="G391" s="7">
        <f>SUMIFS(Лист2!$E:$E,Лист2!$A:$A,Лист1!$A391,Лист2!$B:$B,Лист1!$B391)</f>
        <v>1548</v>
      </c>
      <c r="H391" s="13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SUMIFS(Лист2!$C:$C,Лист2!$A:$A,Лист1!$A392,Лист2!$B:$B,Лист1!$B392)</f>
        <v>21</v>
      </c>
      <c r="F392" s="7">
        <f>SUMIFS(Лист2!$D:$D,Лист2!$A:$A,Лист1!$A392,Лист2!$B:$B,Лист1!$B392)</f>
        <v>1926</v>
      </c>
      <c r="G392" s="7">
        <f>SUMIFS(Лист2!$E:$E,Лист2!$A:$A,Лист1!$A392,Лист2!$B:$B,Лист1!$B392)</f>
        <v>1742</v>
      </c>
      <c r="H392" s="13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SUMIFS(Лист2!$C:$C,Лист2!$A:$A,Лист1!$A393,Лист2!$B:$B,Лист1!$B393)</f>
        <v>21</v>
      </c>
      <c r="F393" s="7">
        <f>SUMIFS(Лист2!$D:$D,Лист2!$A:$A,Лист1!$A393,Лист2!$B:$B,Лист1!$B393)</f>
        <v>2025</v>
      </c>
      <c r="G393" s="7">
        <f>SUMIFS(Лист2!$E:$E,Лист2!$A:$A,Лист1!$A393,Лист2!$B:$B,Лист1!$B393)</f>
        <v>1849</v>
      </c>
      <c r="H393" s="1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SUMIFS(Лист2!$C:$C,Лист2!$A:$A,Лист1!$A394,Лист2!$B:$B,Лист1!$B394)</f>
        <v>7</v>
      </c>
      <c r="F394" s="7">
        <f>SUMIFS(Лист2!$D:$D,Лист2!$A:$A,Лист1!$A394,Лист2!$B:$B,Лист1!$B394)</f>
        <v>530</v>
      </c>
      <c r="G394" s="7">
        <f>SUMIFS(Лист2!$E:$E,Лист2!$A:$A,Лист1!$A394,Лист2!$B:$B,Лист1!$B394)</f>
        <v>447</v>
      </c>
      <c r="H394" s="13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SUMIFS(Лист2!$C:$C,Лист2!$A:$A,Лист1!$A395,Лист2!$B:$B,Лист1!$B395)</f>
        <v>20</v>
      </c>
      <c r="F395" s="7">
        <f>SUMIFS(Лист2!$D:$D,Лист2!$A:$A,Лист1!$A395,Лист2!$B:$B,Лист1!$B395)</f>
        <v>2111</v>
      </c>
      <c r="G395" s="7">
        <f>SUMIFS(Лист2!$E:$E,Лист2!$A:$A,Лист1!$A395,Лист2!$B:$B,Лист1!$B395)</f>
        <v>1917</v>
      </c>
      <c r="H395" s="13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SUMIFS(Лист2!$C:$C,Лист2!$A:$A,Лист1!$A396,Лист2!$B:$B,Лист1!$B396)</f>
        <v>31</v>
      </c>
      <c r="F396" s="7">
        <f>SUMIFS(Лист2!$D:$D,Лист2!$A:$A,Лист1!$A396,Лист2!$B:$B,Лист1!$B396)</f>
        <v>5330</v>
      </c>
      <c r="G396" s="7">
        <f>SUMIFS(Лист2!$E:$E,Лист2!$A:$A,Лист1!$A396,Лист2!$B:$B,Лист1!$B396)</f>
        <v>4977</v>
      </c>
      <c r="H396" s="13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SUMIFS(Лист2!$C:$C,Лист2!$A:$A,Лист1!$A397,Лист2!$B:$B,Лист1!$B397)</f>
        <v>31</v>
      </c>
      <c r="F397" s="7">
        <f>SUMIFS(Лист2!$D:$D,Лист2!$A:$A,Лист1!$A397,Лист2!$B:$B,Лист1!$B397)</f>
        <v>5965</v>
      </c>
      <c r="G397" s="7">
        <f>SUMIFS(Лист2!$E:$E,Лист2!$A:$A,Лист1!$A397,Лист2!$B:$B,Лист1!$B397)</f>
        <v>5533</v>
      </c>
      <c r="H397" s="13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SUMIFS(Лист2!$C:$C,Лист2!$A:$A,Лист1!$A398,Лист2!$B:$B,Лист1!$B398)</f>
        <v>31</v>
      </c>
      <c r="F398" s="7">
        <f>SUMIFS(Лист2!$D:$D,Лист2!$A:$A,Лист1!$A398,Лист2!$B:$B,Лист1!$B398)</f>
        <v>5468</v>
      </c>
      <c r="G398" s="7">
        <f>SUMIFS(Лист2!$E:$E,Лист2!$A:$A,Лист1!$A398,Лист2!$B:$B,Лист1!$B398)</f>
        <v>5081</v>
      </c>
      <c r="H398" s="13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SUMIFS(Лист2!$C:$C,Лист2!$A:$A,Лист1!$A399,Лист2!$B:$B,Лист1!$B399)</f>
        <v>18</v>
      </c>
      <c r="F399" s="7">
        <f>SUMIFS(Лист2!$D:$D,Лист2!$A:$A,Лист1!$A399,Лист2!$B:$B,Лист1!$B399)</f>
        <v>1029</v>
      </c>
      <c r="G399" s="7">
        <f>SUMIFS(Лист2!$E:$E,Лист2!$A:$A,Лист1!$A399,Лист2!$B:$B,Лист1!$B399)</f>
        <v>925</v>
      </c>
      <c r="H399" s="13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SUMIFS(Лист2!$C:$C,Лист2!$A:$A,Лист1!$A400,Лист2!$B:$B,Лист1!$B400)</f>
        <v>31</v>
      </c>
      <c r="F400" s="7">
        <f>SUMIFS(Лист2!$D:$D,Лист2!$A:$A,Лист1!$A400,Лист2!$B:$B,Лист1!$B400)</f>
        <v>4826</v>
      </c>
      <c r="G400" s="7">
        <f>SUMIFS(Лист2!$E:$E,Лист2!$A:$A,Лист1!$A400,Лист2!$B:$B,Лист1!$B400)</f>
        <v>4483</v>
      </c>
      <c r="H400" s="13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SUMIFS(Лист2!$C:$C,Лист2!$A:$A,Лист1!$A401,Лист2!$B:$B,Лист1!$B401)</f>
        <v>31</v>
      </c>
      <c r="F401" s="7">
        <f>SUMIFS(Лист2!$D:$D,Лист2!$A:$A,Лист1!$A401,Лист2!$B:$B,Лист1!$B401)</f>
        <v>5165</v>
      </c>
      <c r="G401" s="7">
        <f>SUMIFS(Лист2!$E:$E,Лист2!$A:$A,Лист1!$A401,Лист2!$B:$B,Лист1!$B401)</f>
        <v>4813</v>
      </c>
      <c r="H401" s="13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SUMIFS(Лист2!$C:$C,Лист2!$A:$A,Лист1!$A402,Лист2!$B:$B,Лист1!$B402)</f>
        <v>31</v>
      </c>
      <c r="F402" s="7">
        <f>SUMIFS(Лист2!$D:$D,Лист2!$A:$A,Лист1!$A402,Лист2!$B:$B,Лист1!$B402)</f>
        <v>4695</v>
      </c>
      <c r="G402" s="7">
        <f>SUMIFS(Лист2!$E:$E,Лист2!$A:$A,Лист1!$A402,Лист2!$B:$B,Лист1!$B402)</f>
        <v>4372</v>
      </c>
      <c r="H402" s="13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SUMIFS(Лист2!$C:$C,Лист2!$A:$A,Лист1!$A403,Лист2!$B:$B,Лист1!$B403)</f>
        <v>31</v>
      </c>
      <c r="F403" s="7">
        <f>SUMIFS(Лист2!$D:$D,Лист2!$A:$A,Лист1!$A403,Лист2!$B:$B,Лист1!$B403)</f>
        <v>5184</v>
      </c>
      <c r="G403" s="7">
        <f>SUMIFS(Лист2!$E:$E,Лист2!$A:$A,Лист1!$A403,Лист2!$B:$B,Лист1!$B403)</f>
        <v>4778</v>
      </c>
      <c r="H403" s="1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SUMIFS(Лист2!$C:$C,Лист2!$A:$A,Лист1!$A404,Лист2!$B:$B,Лист1!$B404)</f>
        <v>10</v>
      </c>
      <c r="F404" s="7">
        <f>SUMIFS(Лист2!$D:$D,Лист2!$A:$A,Лист1!$A404,Лист2!$B:$B,Лист1!$B404)</f>
        <v>757</v>
      </c>
      <c r="G404" s="7">
        <f>SUMIFS(Лист2!$E:$E,Лист2!$A:$A,Лист1!$A404,Лист2!$B:$B,Лист1!$B404)</f>
        <v>660</v>
      </c>
      <c r="H404" s="13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SUMIFS(Лист2!$C:$C,Лист2!$A:$A,Лист1!$A405,Лист2!$B:$B,Лист1!$B405)</f>
        <v>10</v>
      </c>
      <c r="F405" s="7">
        <f>SUMIFS(Лист2!$D:$D,Лист2!$A:$A,Лист1!$A405,Лист2!$B:$B,Лист1!$B405)</f>
        <v>965</v>
      </c>
      <c r="G405" s="7">
        <f>SUMIFS(Лист2!$E:$E,Лист2!$A:$A,Лист1!$A405,Лист2!$B:$B,Лист1!$B405)</f>
        <v>861</v>
      </c>
      <c r="H405" s="13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SUMIFS(Лист2!$C:$C,Лист2!$A:$A,Лист1!$A406,Лист2!$B:$B,Лист1!$B406)</f>
        <v>10</v>
      </c>
      <c r="F406" s="7">
        <f>SUMIFS(Лист2!$D:$D,Лист2!$A:$A,Лист1!$A406,Лист2!$B:$B,Лист1!$B406)</f>
        <v>719</v>
      </c>
      <c r="G406" s="7">
        <f>SUMIFS(Лист2!$E:$E,Лист2!$A:$A,Лист1!$A406,Лист2!$B:$B,Лист1!$B406)</f>
        <v>627</v>
      </c>
      <c r="H406" s="13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SUMIFS(Лист2!$C:$C,Лист2!$A:$A,Лист1!$A407,Лист2!$B:$B,Лист1!$B407)</f>
        <v>10</v>
      </c>
      <c r="F407" s="7">
        <f>SUMIFS(Лист2!$D:$D,Лист2!$A:$A,Лист1!$A407,Лист2!$B:$B,Лист1!$B407)</f>
        <v>494</v>
      </c>
      <c r="G407" s="7">
        <f>SUMIFS(Лист2!$E:$E,Лист2!$A:$A,Лист1!$A407,Лист2!$B:$B,Лист1!$B407)</f>
        <v>421</v>
      </c>
      <c r="H407" s="13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SUMIFS(Лист2!$C:$C,Лист2!$A:$A,Лист1!$A408,Лист2!$B:$B,Лист1!$B408)</f>
        <v>31</v>
      </c>
      <c r="F408" s="7">
        <f>SUMIFS(Лист2!$D:$D,Лист2!$A:$A,Лист1!$A408,Лист2!$B:$B,Лист1!$B408)</f>
        <v>5751</v>
      </c>
      <c r="G408" s="7">
        <f>SUMIFS(Лист2!$E:$E,Лист2!$A:$A,Лист1!$A408,Лист2!$B:$B,Лист1!$B408)</f>
        <v>5319</v>
      </c>
      <c r="H408" s="13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SUMIFS(Лист2!$C:$C,Лист2!$A:$A,Лист1!$A409,Лист2!$B:$B,Лист1!$B409)</f>
        <v>10</v>
      </c>
      <c r="F409" s="7">
        <f>SUMIFS(Лист2!$D:$D,Лист2!$A:$A,Лист1!$A409,Лист2!$B:$B,Лист1!$B409)</f>
        <v>645</v>
      </c>
      <c r="G409" s="7">
        <f>SUMIFS(Лист2!$E:$E,Лист2!$A:$A,Лист1!$A409,Лист2!$B:$B,Лист1!$B409)</f>
        <v>565</v>
      </c>
      <c r="H409" s="13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SUMIFS(Лист2!$C:$C,Лист2!$A:$A,Лист1!$A410,Лист2!$B:$B,Лист1!$B410)</f>
        <v>10</v>
      </c>
      <c r="F410" s="7">
        <f>SUMIFS(Лист2!$D:$D,Лист2!$A:$A,Лист1!$A410,Лист2!$B:$B,Лист1!$B410)</f>
        <v>627</v>
      </c>
      <c r="G410" s="7">
        <f>SUMIFS(Лист2!$E:$E,Лист2!$A:$A,Лист1!$A410,Лист2!$B:$B,Лист1!$B410)</f>
        <v>545</v>
      </c>
      <c r="H410" s="13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SUMIFS(Лист2!$C:$C,Лист2!$A:$A,Лист1!$A411,Лист2!$B:$B,Лист1!$B411)</f>
        <v>10</v>
      </c>
      <c r="F411" s="7">
        <f>SUMIFS(Лист2!$D:$D,Лист2!$A:$A,Лист1!$A411,Лист2!$B:$B,Лист1!$B411)</f>
        <v>743</v>
      </c>
      <c r="G411" s="7">
        <f>SUMIFS(Лист2!$E:$E,Лист2!$A:$A,Лист1!$A411,Лист2!$B:$B,Лист1!$B411)</f>
        <v>652</v>
      </c>
      <c r="H411" s="13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SUMIFS(Лист2!$C:$C,Лист2!$A:$A,Лист1!$A412,Лист2!$B:$B,Лист1!$B412)</f>
        <v>10</v>
      </c>
      <c r="F412" s="7">
        <f>SUMIFS(Лист2!$D:$D,Лист2!$A:$A,Лист1!$A412,Лист2!$B:$B,Лист1!$B412)</f>
        <v>873</v>
      </c>
      <c r="G412" s="7">
        <f>SUMIFS(Лист2!$E:$E,Лист2!$A:$A,Лист1!$A412,Лист2!$B:$B,Лист1!$B412)</f>
        <v>770</v>
      </c>
      <c r="H412" s="13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SUMIFS(Лист2!$C:$C,Лист2!$A:$A,Лист1!$A413,Лист2!$B:$B,Лист1!$B413)</f>
        <v>20</v>
      </c>
      <c r="F413" s="7">
        <f>SUMIFS(Лист2!$D:$D,Лист2!$A:$A,Лист1!$A413,Лист2!$B:$B,Лист1!$B413)</f>
        <v>2079</v>
      </c>
      <c r="G413" s="7">
        <f>SUMIFS(Лист2!$E:$E,Лист2!$A:$A,Лист1!$A413,Лист2!$B:$B,Лист1!$B413)</f>
        <v>1856</v>
      </c>
      <c r="H413" s="13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SUMIFS(Лист2!$C:$C,Лист2!$A:$A,Лист1!$A414,Лист2!$B:$B,Лист1!$B414)</f>
        <v>20</v>
      </c>
      <c r="F414" s="7">
        <f>SUMIFS(Лист2!$D:$D,Лист2!$A:$A,Лист1!$A414,Лист2!$B:$B,Лист1!$B414)</f>
        <v>2306</v>
      </c>
      <c r="G414" s="7">
        <f>SUMIFS(Лист2!$E:$E,Лист2!$A:$A,Лист1!$A414,Лист2!$B:$B,Лист1!$B414)</f>
        <v>2054</v>
      </c>
      <c r="H414" s="13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SUMIFS(Лист2!$C:$C,Лист2!$A:$A,Лист1!$A415,Лист2!$B:$B,Лист1!$B415)</f>
        <v>20</v>
      </c>
      <c r="F415" s="7">
        <f>SUMIFS(Лист2!$D:$D,Лист2!$A:$A,Лист1!$A415,Лист2!$B:$B,Лист1!$B415)</f>
        <v>2136</v>
      </c>
      <c r="G415" s="7">
        <f>SUMIFS(Лист2!$E:$E,Лист2!$A:$A,Лист1!$A415,Лист2!$B:$B,Лист1!$B415)</f>
        <v>1899</v>
      </c>
      <c r="H415" s="13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SUMIFS(Лист2!$C:$C,Лист2!$A:$A,Лист1!$A416,Лист2!$B:$B,Лист1!$B416)</f>
        <v>19</v>
      </c>
      <c r="F416" s="7">
        <f>SUMIFS(Лист2!$D:$D,Лист2!$A:$A,Лист1!$A416,Лист2!$B:$B,Лист1!$B416)</f>
        <v>2530</v>
      </c>
      <c r="G416" s="7">
        <f>SUMIFS(Лист2!$E:$E,Лист2!$A:$A,Лист1!$A416,Лист2!$B:$B,Лист1!$B416)</f>
        <v>2270</v>
      </c>
      <c r="H416" s="13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SUMIFS(Лист2!$C:$C,Лист2!$A:$A,Лист1!$A417,Лист2!$B:$B,Лист1!$B417)</f>
        <v>19</v>
      </c>
      <c r="F417" s="7">
        <f>SUMIFS(Лист2!$D:$D,Лист2!$A:$A,Лист1!$A417,Лист2!$B:$B,Лист1!$B417)</f>
        <v>1858</v>
      </c>
      <c r="G417" s="7">
        <f>SUMIFS(Лист2!$E:$E,Лист2!$A:$A,Лист1!$A417,Лист2!$B:$B,Лист1!$B417)</f>
        <v>1648</v>
      </c>
      <c r="H417" s="13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SUMIFS(Лист2!$C:$C,Лист2!$A:$A,Лист1!$A418,Лист2!$B:$B,Лист1!$B418)</f>
        <v>19</v>
      </c>
      <c r="F418" s="7">
        <f>SUMIFS(Лист2!$D:$D,Лист2!$A:$A,Лист1!$A418,Лист2!$B:$B,Лист1!$B418)</f>
        <v>1675</v>
      </c>
      <c r="G418" s="7">
        <f>SUMIFS(Лист2!$E:$E,Лист2!$A:$A,Лист1!$A418,Лист2!$B:$B,Лист1!$B418)</f>
        <v>1475</v>
      </c>
      <c r="H418" s="13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SUMIFS(Лист2!$C:$C,Лист2!$A:$A,Лист1!$A419,Лист2!$B:$B,Лист1!$B419)</f>
        <v>19</v>
      </c>
      <c r="F419" s="7">
        <f>SUMIFS(Лист2!$D:$D,Лист2!$A:$A,Лист1!$A419,Лист2!$B:$B,Лист1!$B419)</f>
        <v>1940</v>
      </c>
      <c r="G419" s="7">
        <f>SUMIFS(Лист2!$E:$E,Лист2!$A:$A,Лист1!$A419,Лист2!$B:$B,Лист1!$B419)</f>
        <v>1715</v>
      </c>
      <c r="H419" s="13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SUMIFS(Лист2!$C:$C,Лист2!$A:$A,Лист1!$A420,Лист2!$B:$B,Лист1!$B420)</f>
        <v>20</v>
      </c>
      <c r="F420" s="7">
        <f>SUMIFS(Лист2!$D:$D,Лист2!$A:$A,Лист1!$A420,Лист2!$B:$B,Лист1!$B420)</f>
        <v>2249</v>
      </c>
      <c r="G420" s="7">
        <f>SUMIFS(Лист2!$E:$E,Лист2!$A:$A,Лист1!$A420,Лист2!$B:$B,Лист1!$B420)</f>
        <v>2000</v>
      </c>
      <c r="H420" s="13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SUMIFS(Лист2!$C:$C,Лист2!$A:$A,Лист1!$A421,Лист2!$B:$B,Лист1!$B421)</f>
        <v>129</v>
      </c>
      <c r="F421" s="7">
        <f>SUMIFS(Лист2!$D:$D,Лист2!$A:$A,Лист1!$A421,Лист2!$B:$B,Лист1!$B421)</f>
        <v>17115</v>
      </c>
      <c r="G421" s="7">
        <f>SUMIFS(Лист2!$E:$E,Лист2!$A:$A,Лист1!$A421,Лист2!$B:$B,Лист1!$B421)</f>
        <v>15962</v>
      </c>
      <c r="H421" s="13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SUMIFS(Лист2!$C:$C,Лист2!$A:$A,Лист1!$A422,Лист2!$B:$B,Лист1!$B422)</f>
        <v>129</v>
      </c>
      <c r="F422" s="7">
        <f>SUMIFS(Лист2!$D:$D,Лист2!$A:$A,Лист1!$A422,Лист2!$B:$B,Лист1!$B422)</f>
        <v>17088</v>
      </c>
      <c r="G422" s="7">
        <f>SUMIFS(Лист2!$E:$E,Лист2!$A:$A,Лист1!$A422,Лист2!$B:$B,Лист1!$B422)</f>
        <v>15804</v>
      </c>
      <c r="H422" s="13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SUMIFS(Лист2!$C:$C,Лист2!$A:$A,Лист1!$A423,Лист2!$B:$B,Лист1!$B423)</f>
        <v>128</v>
      </c>
      <c r="F423" s="7">
        <f>SUMIFS(Лист2!$D:$D,Лист2!$A:$A,Лист1!$A423,Лист2!$B:$B,Лист1!$B423)</f>
        <v>16285</v>
      </c>
      <c r="G423" s="7">
        <f>SUMIFS(Лист2!$E:$E,Лист2!$A:$A,Лист1!$A423,Лист2!$B:$B,Лист1!$B423)</f>
        <v>15130</v>
      </c>
      <c r="H423" s="1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SUMIFS(Лист2!$C:$C,Лист2!$A:$A,Лист1!$A424,Лист2!$B:$B,Лист1!$B424)</f>
        <v>129</v>
      </c>
      <c r="F424" s="7">
        <f>SUMIFS(Лист2!$D:$D,Лист2!$A:$A,Лист1!$A424,Лист2!$B:$B,Лист1!$B424)</f>
        <v>14043</v>
      </c>
      <c r="G424" s="7">
        <f>SUMIFS(Лист2!$E:$E,Лист2!$A:$A,Лист1!$A424,Лист2!$B:$B,Лист1!$B424)</f>
        <v>13167</v>
      </c>
      <c r="H424" s="13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SUMIFS(Лист2!$C:$C,Лист2!$A:$A,Лист1!$A425,Лист2!$B:$B,Лист1!$B425)</f>
        <v>129</v>
      </c>
      <c r="F425" s="7">
        <f>SUMIFS(Лист2!$D:$D,Лист2!$A:$A,Лист1!$A425,Лист2!$B:$B,Лист1!$B425)</f>
        <v>16110</v>
      </c>
      <c r="G425" s="7">
        <f>SUMIFS(Лист2!$E:$E,Лист2!$A:$A,Лист1!$A425,Лист2!$B:$B,Лист1!$B425)</f>
        <v>14992</v>
      </c>
      <c r="H425" s="13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SUMIFS(Лист2!$C:$C,Лист2!$A:$A,Лист1!$A426,Лист2!$B:$B,Лист1!$B426)</f>
        <v>129</v>
      </c>
      <c r="F426" s="7">
        <f>SUMIFS(Лист2!$D:$D,Лист2!$A:$A,Лист1!$A426,Лист2!$B:$B,Лист1!$B426)</f>
        <v>15804</v>
      </c>
      <c r="G426" s="7">
        <f>SUMIFS(Лист2!$E:$E,Лист2!$A:$A,Лист1!$A426,Лист2!$B:$B,Лист1!$B426)</f>
        <v>14738</v>
      </c>
      <c r="H426" s="13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SUMIFS(Лист2!$C:$C,Лист2!$A:$A,Лист1!$A427,Лист2!$B:$B,Лист1!$B427)</f>
        <v>129</v>
      </c>
      <c r="F427" s="7">
        <f>SUMIFS(Лист2!$D:$D,Лист2!$A:$A,Лист1!$A427,Лист2!$B:$B,Лист1!$B427)</f>
        <v>17808</v>
      </c>
      <c r="G427" s="7">
        <f>SUMIFS(Лист2!$E:$E,Лист2!$A:$A,Лист1!$A427,Лист2!$B:$B,Лист1!$B427)</f>
        <v>16486</v>
      </c>
      <c r="H427" s="13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SUMIFS(Лист2!$C:$C,Лист2!$A:$A,Лист1!$A428,Лист2!$B:$B,Лист1!$B428)</f>
        <v>124</v>
      </c>
      <c r="F428" s="7">
        <f>SUMIFS(Лист2!$D:$D,Лист2!$A:$A,Лист1!$A428,Лист2!$B:$B,Лист1!$B428)</f>
        <v>21384</v>
      </c>
      <c r="G428" s="7">
        <f>SUMIFS(Лист2!$E:$E,Лист2!$A:$A,Лист1!$A428,Лист2!$B:$B,Лист1!$B428)</f>
        <v>19897</v>
      </c>
      <c r="H428" s="13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SUMIFS(Лист2!$C:$C,Лист2!$A:$A,Лист1!$A429,Лист2!$B:$B,Лист1!$B429)</f>
        <v>125</v>
      </c>
      <c r="F429" s="7">
        <f>SUMIFS(Лист2!$D:$D,Лист2!$A:$A,Лист1!$A429,Лист2!$B:$B,Лист1!$B429)</f>
        <v>21427</v>
      </c>
      <c r="G429" s="7">
        <f>SUMIFS(Лист2!$E:$E,Лист2!$A:$A,Лист1!$A429,Лист2!$B:$B,Лист1!$B429)</f>
        <v>19799</v>
      </c>
      <c r="H429" s="13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SUMIFS(Лист2!$C:$C,Лист2!$A:$A,Лист1!$A430,Лист2!$B:$B,Лист1!$B430)</f>
        <v>123</v>
      </c>
      <c r="F430" s="7">
        <f>SUMIFS(Лист2!$D:$D,Лист2!$A:$A,Лист1!$A430,Лист2!$B:$B,Лист1!$B430)</f>
        <v>20325</v>
      </c>
      <c r="G430" s="7">
        <f>SUMIFS(Лист2!$E:$E,Лист2!$A:$A,Лист1!$A430,Лист2!$B:$B,Лист1!$B430)</f>
        <v>18935</v>
      </c>
      <c r="H430" s="13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SUMIFS(Лист2!$C:$C,Лист2!$A:$A,Лист1!$A431,Лист2!$B:$B,Лист1!$B431)</f>
        <v>125</v>
      </c>
      <c r="F431" s="7">
        <f>SUMIFS(Лист2!$D:$D,Лист2!$A:$A,Лист1!$A431,Лист2!$B:$B,Лист1!$B431)</f>
        <v>18066</v>
      </c>
      <c r="G431" s="7">
        <f>SUMIFS(Лист2!$E:$E,Лист2!$A:$A,Лист1!$A431,Лист2!$B:$B,Лист1!$B431)</f>
        <v>16883</v>
      </c>
      <c r="H431" s="13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SUMIFS(Лист2!$C:$C,Лист2!$A:$A,Лист1!$A432,Лист2!$B:$B,Лист1!$B432)</f>
        <v>129</v>
      </c>
      <c r="F432" s="7">
        <f>SUMIFS(Лист2!$D:$D,Лист2!$A:$A,Лист1!$A432,Лист2!$B:$B,Лист1!$B432)</f>
        <v>22403</v>
      </c>
      <c r="G432" s="7">
        <f>SUMIFS(Лист2!$E:$E,Лист2!$A:$A,Лист1!$A432,Лист2!$B:$B,Лист1!$B432)</f>
        <v>20676</v>
      </c>
      <c r="H432" s="13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SUMIFS(Лист2!$C:$C,Лист2!$A:$A,Лист1!$A433,Лист2!$B:$B,Лист1!$B433)</f>
        <v>125</v>
      </c>
      <c r="F433" s="7">
        <f>SUMIFS(Лист2!$D:$D,Лист2!$A:$A,Лист1!$A433,Лист2!$B:$B,Лист1!$B433)</f>
        <v>20449</v>
      </c>
      <c r="G433" s="7">
        <f>SUMIFS(Лист2!$E:$E,Лист2!$A:$A,Лист1!$A433,Лист2!$B:$B,Лист1!$B433)</f>
        <v>19060</v>
      </c>
      <c r="H433" s="13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SUMIFS(Лист2!$C:$C,Лист2!$A:$A,Лист1!$A434,Лист2!$B:$B,Лист1!$B434)</f>
        <v>125</v>
      </c>
      <c r="F434" s="7">
        <f>SUMIFS(Лист2!$D:$D,Лист2!$A:$A,Лист1!$A434,Лист2!$B:$B,Лист1!$B434)</f>
        <v>20247</v>
      </c>
      <c r="G434" s="7">
        <f>SUMIFS(Лист2!$E:$E,Лист2!$A:$A,Лист1!$A434,Лист2!$B:$B,Лист1!$B434)</f>
        <v>18812</v>
      </c>
      <c r="H434" s="13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SUMIFS(Лист2!$C:$C,Лист2!$A:$A,Лист1!$A435,Лист2!$B:$B,Лист1!$B435)</f>
        <v>125</v>
      </c>
      <c r="F435" s="7">
        <f>SUMIFS(Лист2!$D:$D,Лист2!$A:$A,Лист1!$A435,Лист2!$B:$B,Лист1!$B435)</f>
        <v>21862</v>
      </c>
      <c r="G435" s="7">
        <f>SUMIFS(Лист2!$E:$E,Лист2!$A:$A,Лист1!$A435,Лист2!$B:$B,Лист1!$B435)</f>
        <v>20235</v>
      </c>
      <c r="H435" s="13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SUMIFS(Лист2!$C:$C,Лист2!$A:$A,Лист1!$A436,Лист2!$B:$B,Лист1!$B436)</f>
        <v>36</v>
      </c>
      <c r="F436" s="7">
        <f>SUMIFS(Лист2!$D:$D,Лист2!$A:$A,Лист1!$A436,Лист2!$B:$B,Лист1!$B436)</f>
        <v>4951</v>
      </c>
      <c r="G436" s="7">
        <f>SUMIFS(Лист2!$E:$E,Лист2!$A:$A,Лист1!$A436,Лист2!$B:$B,Лист1!$B436)</f>
        <v>4584</v>
      </c>
      <c r="H436" s="13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SUMIFS(Лист2!$C:$C,Лист2!$A:$A,Лист1!$A437,Лист2!$B:$B,Лист1!$B437)</f>
        <v>36</v>
      </c>
      <c r="F437" s="7">
        <f>SUMIFS(Лист2!$D:$D,Лист2!$A:$A,Лист1!$A437,Лист2!$B:$B,Лист1!$B437)</f>
        <v>4857</v>
      </c>
      <c r="G437" s="7">
        <f>SUMIFS(Лист2!$E:$E,Лист2!$A:$A,Лист1!$A437,Лист2!$B:$B,Лист1!$B437)</f>
        <v>4456</v>
      </c>
      <c r="H437" s="13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SUMIFS(Лист2!$C:$C,Лист2!$A:$A,Лист1!$A438,Лист2!$B:$B,Лист1!$B438)</f>
        <v>37</v>
      </c>
      <c r="F438" s="7">
        <f>SUMIFS(Лист2!$D:$D,Лист2!$A:$A,Лист1!$A438,Лист2!$B:$B,Лист1!$B438)</f>
        <v>4722</v>
      </c>
      <c r="G438" s="7">
        <f>SUMIFS(Лист2!$E:$E,Лист2!$A:$A,Лист1!$A438,Лист2!$B:$B,Лист1!$B438)</f>
        <v>4352</v>
      </c>
      <c r="H438" s="13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SUMIFS(Лист2!$C:$C,Лист2!$A:$A,Лист1!$A439,Лист2!$B:$B,Лист1!$B439)</f>
        <v>36</v>
      </c>
      <c r="F439" s="7">
        <f>SUMIFS(Лист2!$D:$D,Лист2!$A:$A,Лист1!$A439,Лист2!$B:$B,Лист1!$B439)</f>
        <v>4150</v>
      </c>
      <c r="G439" s="7">
        <f>SUMIFS(Лист2!$E:$E,Лист2!$A:$A,Лист1!$A439,Лист2!$B:$B,Лист1!$B439)</f>
        <v>3838</v>
      </c>
      <c r="H439" s="13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SUMIFS(Лист2!$C:$C,Лист2!$A:$A,Лист1!$A440,Лист2!$B:$B,Лист1!$B440)</f>
        <v>124</v>
      </c>
      <c r="F440" s="7">
        <f>SUMIFS(Лист2!$D:$D,Лист2!$A:$A,Лист1!$A440,Лист2!$B:$B,Лист1!$B440)</f>
        <v>25828</v>
      </c>
      <c r="G440" s="7">
        <f>SUMIFS(Лист2!$E:$E,Лист2!$A:$A,Лист1!$A440,Лист2!$B:$B,Лист1!$B440)</f>
        <v>23974</v>
      </c>
      <c r="H440" s="13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SUMIFS(Лист2!$C:$C,Лист2!$A:$A,Лист1!$A441,Лист2!$B:$B,Лист1!$B441)</f>
        <v>36</v>
      </c>
      <c r="F441" s="7">
        <f>SUMIFS(Лист2!$D:$D,Лист2!$A:$A,Лист1!$A441,Лист2!$B:$B,Лист1!$B441)</f>
        <v>4885</v>
      </c>
      <c r="G441" s="7">
        <f>SUMIFS(Лист2!$E:$E,Лист2!$A:$A,Лист1!$A441,Лист2!$B:$B,Лист1!$B441)</f>
        <v>4502</v>
      </c>
      <c r="H441" s="13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SUMIFS(Лист2!$C:$C,Лист2!$A:$A,Лист1!$A442,Лист2!$B:$B,Лист1!$B442)</f>
        <v>36</v>
      </c>
      <c r="F442" s="7">
        <f>SUMIFS(Лист2!$D:$D,Лист2!$A:$A,Лист1!$A442,Лист2!$B:$B,Лист1!$B442)</f>
        <v>4285</v>
      </c>
      <c r="G442" s="7">
        <f>SUMIFS(Лист2!$E:$E,Лист2!$A:$A,Лист1!$A442,Лист2!$B:$B,Лист1!$B442)</f>
        <v>3950</v>
      </c>
      <c r="H442" s="13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SUMIFS(Лист2!$C:$C,Лист2!$A:$A,Лист1!$A443,Лист2!$B:$B,Лист1!$B443)</f>
        <v>36</v>
      </c>
      <c r="F443" s="7">
        <f>SUMIFS(Лист2!$D:$D,Лист2!$A:$A,Лист1!$A443,Лист2!$B:$B,Лист1!$B443)</f>
        <v>4862</v>
      </c>
      <c r="G443" s="7">
        <f>SUMIFS(Лист2!$E:$E,Лист2!$A:$A,Лист1!$A443,Лист2!$B:$B,Лист1!$B443)</f>
        <v>4476</v>
      </c>
      <c r="H443" s="1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SUMIFS(Лист2!$C:$C,Лист2!$A:$A,Лист1!$A444,Лист2!$B:$B,Лист1!$B444)</f>
        <v>21</v>
      </c>
      <c r="F444" s="7">
        <f>SUMIFS(Лист2!$D:$D,Лист2!$A:$A,Лист1!$A444,Лист2!$B:$B,Лист1!$B444)</f>
        <v>2430</v>
      </c>
      <c r="G444" s="7">
        <f>SUMIFS(Лист2!$E:$E,Лист2!$A:$A,Лист1!$A444,Лист2!$B:$B,Лист1!$B444)</f>
        <v>2216</v>
      </c>
      <c r="H444" s="13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SUMIFS(Лист2!$C:$C,Лист2!$A:$A,Лист1!$A445,Лист2!$B:$B,Лист1!$B445)</f>
        <v>21</v>
      </c>
      <c r="F445" s="7">
        <f>SUMIFS(Лист2!$D:$D,Лист2!$A:$A,Лист1!$A445,Лист2!$B:$B,Лист1!$B445)</f>
        <v>2861</v>
      </c>
      <c r="G445" s="7">
        <f>SUMIFS(Лист2!$E:$E,Лист2!$A:$A,Лист1!$A445,Лист2!$B:$B,Лист1!$B445)</f>
        <v>2612</v>
      </c>
      <c r="H445" s="13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SUMIFS(Лист2!$C:$C,Лист2!$A:$A,Лист1!$A446,Лист2!$B:$B,Лист1!$B446)</f>
        <v>23</v>
      </c>
      <c r="F446" s="7">
        <f>SUMIFS(Лист2!$D:$D,Лист2!$A:$A,Лист1!$A446,Лист2!$B:$B,Лист1!$B446)</f>
        <v>2531</v>
      </c>
      <c r="G446" s="7">
        <f>SUMIFS(Лист2!$E:$E,Лист2!$A:$A,Лист1!$A446,Лист2!$B:$B,Лист1!$B446)</f>
        <v>2296</v>
      </c>
      <c r="H446" s="13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SUMIFS(Лист2!$C:$C,Лист2!$A:$A,Лист1!$A447,Лист2!$B:$B,Лист1!$B447)</f>
        <v>21</v>
      </c>
      <c r="F447" s="7">
        <f>SUMIFS(Лист2!$D:$D,Лист2!$A:$A,Лист1!$A447,Лист2!$B:$B,Лист1!$B447)</f>
        <v>1916</v>
      </c>
      <c r="G447" s="7">
        <f>SUMIFS(Лист2!$E:$E,Лист2!$A:$A,Лист1!$A447,Лист2!$B:$B,Лист1!$B447)</f>
        <v>1733</v>
      </c>
      <c r="H447" s="13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SUMIFS(Лист2!$C:$C,Лист2!$A:$A,Лист1!$A448,Лист2!$B:$B,Лист1!$B448)</f>
        <v>37</v>
      </c>
      <c r="F448" s="7">
        <f>SUMIFS(Лист2!$D:$D,Лист2!$A:$A,Лист1!$A448,Лист2!$B:$B,Лист1!$B448)</f>
        <v>5672</v>
      </c>
      <c r="G448" s="7">
        <f>SUMIFS(Лист2!$E:$E,Лист2!$A:$A,Лист1!$A448,Лист2!$B:$B,Лист1!$B448)</f>
        <v>5198</v>
      </c>
      <c r="H448" s="13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SUMIFS(Лист2!$C:$C,Лист2!$A:$A,Лист1!$A449,Лист2!$B:$B,Лист1!$B449)</f>
        <v>21</v>
      </c>
      <c r="F449" s="7">
        <f>SUMIFS(Лист2!$D:$D,Лист2!$A:$A,Лист1!$A449,Лист2!$B:$B,Лист1!$B449)</f>
        <v>2136</v>
      </c>
      <c r="G449" s="7">
        <f>SUMIFS(Лист2!$E:$E,Лист2!$A:$A,Лист1!$A449,Лист2!$B:$B,Лист1!$B449)</f>
        <v>1947</v>
      </c>
      <c r="H449" s="13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SUMIFS(Лист2!$C:$C,Лист2!$A:$A,Лист1!$A450,Лист2!$B:$B,Лист1!$B450)</f>
        <v>21</v>
      </c>
      <c r="F450" s="7">
        <f>SUMIFS(Лист2!$D:$D,Лист2!$A:$A,Лист1!$A450,Лист2!$B:$B,Лист1!$B450)</f>
        <v>1993</v>
      </c>
      <c r="G450" s="7">
        <f>SUMIFS(Лист2!$E:$E,Лист2!$A:$A,Лист1!$A450,Лист2!$B:$B,Лист1!$B450)</f>
        <v>1796</v>
      </c>
      <c r="H450" s="13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SUMIFS(Лист2!$C:$C,Лист2!$A:$A,Лист1!$A451,Лист2!$B:$B,Лист1!$B451)</f>
        <v>21</v>
      </c>
      <c r="F451" s="7">
        <f>SUMIFS(Лист2!$D:$D,Лист2!$A:$A,Лист1!$A451,Лист2!$B:$B,Лист1!$B451)</f>
        <v>2255</v>
      </c>
      <c r="G451" s="7">
        <f>SUMIFS(Лист2!$E:$E,Лист2!$A:$A,Лист1!$A451,Лист2!$B:$B,Лист1!$B451)</f>
        <v>2045</v>
      </c>
      <c r="H451" s="13">
        <f t="shared" ref="H451:H505" si="14">D451/E451</f>
        <v>179631.35714285713</v>
      </c>
      <c r="I451">
        <f t="shared" ref="I451:I505" si="15">WEEKNUM(A451,2)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SUMIFS(Лист2!$C:$C,Лист2!$A:$A,Лист1!$A452,Лист2!$B:$B,Лист1!$B452)</f>
        <v>22</v>
      </c>
      <c r="F452" s="7">
        <f>SUMIFS(Лист2!$D:$D,Лист2!$A:$A,Лист1!$A452,Лист2!$B:$B,Лист1!$B452)</f>
        <v>2597</v>
      </c>
      <c r="G452" s="7">
        <f>SUMIFS(Лист2!$E:$E,Лист2!$A:$A,Лист1!$A452,Лист2!$B:$B,Лист1!$B452)</f>
        <v>2379</v>
      </c>
      <c r="H452" s="13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SUMIFS(Лист2!$C:$C,Лист2!$A:$A,Лист1!$A453,Лист2!$B:$B,Лист1!$B453)</f>
        <v>17</v>
      </c>
      <c r="F453" s="7">
        <f>SUMIFS(Лист2!$D:$D,Лист2!$A:$A,Лист1!$A453,Лист2!$B:$B,Лист1!$B453)</f>
        <v>1203</v>
      </c>
      <c r="G453" s="7">
        <f>SUMIFS(Лист2!$E:$E,Лист2!$A:$A,Лист1!$A453,Лист2!$B:$B,Лист1!$B453)</f>
        <v>1077</v>
      </c>
      <c r="H453" s="1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SUMIFS(Лист2!$C:$C,Лист2!$A:$A,Лист1!$A454,Лист2!$B:$B,Лист1!$B454)</f>
        <v>17</v>
      </c>
      <c r="F454" s="7">
        <f>SUMIFS(Лист2!$D:$D,Лист2!$A:$A,Лист1!$A454,Лист2!$B:$B,Лист1!$B454)</f>
        <v>1268</v>
      </c>
      <c r="G454" s="7">
        <f>SUMIFS(Лист2!$E:$E,Лист2!$A:$A,Лист1!$A454,Лист2!$B:$B,Лист1!$B454)</f>
        <v>1129</v>
      </c>
      <c r="H454" s="13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SUMIFS(Лист2!$C:$C,Лист2!$A:$A,Лист1!$A455,Лист2!$B:$B,Лист1!$B455)</f>
        <v>17</v>
      </c>
      <c r="F455" s="7">
        <f>SUMIFS(Лист2!$D:$D,Лист2!$A:$A,Лист1!$A455,Лист2!$B:$B,Лист1!$B455)</f>
        <v>1185</v>
      </c>
      <c r="G455" s="7">
        <f>SUMIFS(Лист2!$E:$E,Лист2!$A:$A,Лист1!$A455,Лист2!$B:$B,Лист1!$B455)</f>
        <v>1042</v>
      </c>
      <c r="H455" s="13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SUMIFS(Лист2!$C:$C,Лист2!$A:$A,Лист1!$A456,Лист2!$B:$B,Лист1!$B456)</f>
        <v>15</v>
      </c>
      <c r="F456" s="7">
        <f>SUMIFS(Лист2!$D:$D,Лист2!$A:$A,Лист1!$A456,Лист2!$B:$B,Лист1!$B456)</f>
        <v>812</v>
      </c>
      <c r="G456" s="7">
        <f>SUMIFS(Лист2!$E:$E,Лист2!$A:$A,Лист1!$A456,Лист2!$B:$B,Лист1!$B456)</f>
        <v>714</v>
      </c>
      <c r="H456" s="13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SUMIFS(Лист2!$C:$C,Лист2!$A:$A,Лист1!$A457,Лист2!$B:$B,Лист1!$B457)</f>
        <v>16</v>
      </c>
      <c r="F457" s="7">
        <f>SUMIFS(Лист2!$D:$D,Лист2!$A:$A,Лист1!$A457,Лист2!$B:$B,Лист1!$B457)</f>
        <v>925</v>
      </c>
      <c r="G457" s="7">
        <f>SUMIFS(Лист2!$E:$E,Лист2!$A:$A,Лист1!$A457,Лист2!$B:$B,Лист1!$B457)</f>
        <v>816</v>
      </c>
      <c r="H457" s="13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SUMIFS(Лист2!$C:$C,Лист2!$A:$A,Лист1!$A458,Лист2!$B:$B,Лист1!$B458)</f>
        <v>15</v>
      </c>
      <c r="F458" s="7">
        <f>SUMIFS(Лист2!$D:$D,Лист2!$A:$A,Лист1!$A458,Лист2!$B:$B,Лист1!$B458)</f>
        <v>890</v>
      </c>
      <c r="G458" s="7">
        <f>SUMIFS(Лист2!$E:$E,Лист2!$A:$A,Лист1!$A458,Лист2!$B:$B,Лист1!$B458)</f>
        <v>777</v>
      </c>
      <c r="H458" s="13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SUMIFS(Лист2!$C:$C,Лист2!$A:$A,Лист1!$A459,Лист2!$B:$B,Лист1!$B459)</f>
        <v>15</v>
      </c>
      <c r="F459" s="7">
        <f>SUMIFS(Лист2!$D:$D,Лист2!$A:$A,Лист1!$A459,Лист2!$B:$B,Лист1!$B459)</f>
        <v>980</v>
      </c>
      <c r="G459" s="7">
        <f>SUMIFS(Лист2!$E:$E,Лист2!$A:$A,Лист1!$A459,Лист2!$B:$B,Лист1!$B459)</f>
        <v>867</v>
      </c>
      <c r="H459" s="13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SUMIFS(Лист2!$C:$C,Лист2!$A:$A,Лист1!$A460,Лист2!$B:$B,Лист1!$B460)</f>
        <v>15</v>
      </c>
      <c r="F460" s="7">
        <f>SUMIFS(Лист2!$D:$D,Лист2!$A:$A,Лист1!$A460,Лист2!$B:$B,Лист1!$B460)</f>
        <v>809</v>
      </c>
      <c r="G460" s="7">
        <f>SUMIFS(Лист2!$E:$E,Лист2!$A:$A,Лист1!$A460,Лист2!$B:$B,Лист1!$B460)</f>
        <v>702</v>
      </c>
      <c r="H460" s="13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SUMIFS(Лист2!$C:$C,Лист2!$A:$A,Лист1!$A461,Лист2!$B:$B,Лист1!$B461)</f>
        <v>15</v>
      </c>
      <c r="F461" s="7">
        <f>SUMIFS(Лист2!$D:$D,Лист2!$A:$A,Лист1!$A461,Лист2!$B:$B,Лист1!$B461)</f>
        <v>903</v>
      </c>
      <c r="G461" s="7">
        <f>SUMIFS(Лист2!$E:$E,Лист2!$A:$A,Лист1!$A461,Лист2!$B:$B,Лист1!$B461)</f>
        <v>792</v>
      </c>
      <c r="H461" s="13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SUMIFS(Лист2!$C:$C,Лист2!$A:$A,Лист1!$A462,Лист2!$B:$B,Лист1!$B462)</f>
        <v>16</v>
      </c>
      <c r="F462" s="7">
        <f>SUMIFS(Лист2!$D:$D,Лист2!$A:$A,Лист1!$A462,Лист2!$B:$B,Лист1!$B462)</f>
        <v>1019</v>
      </c>
      <c r="G462" s="7">
        <f>SUMIFS(Лист2!$E:$E,Лист2!$A:$A,Лист1!$A462,Лист2!$B:$B,Лист1!$B462)</f>
        <v>895</v>
      </c>
      <c r="H462" s="13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SUMIFS(Лист2!$C:$C,Лист2!$A:$A,Лист1!$A463,Лист2!$B:$B,Лист1!$B463)</f>
        <v>15</v>
      </c>
      <c r="F463" s="7">
        <f>SUMIFS(Лист2!$D:$D,Лист2!$A:$A,Лист1!$A463,Лист2!$B:$B,Лист1!$B463)</f>
        <v>684</v>
      </c>
      <c r="G463" s="7">
        <f>SUMIFS(Лист2!$E:$E,Лист2!$A:$A,Лист1!$A463,Лист2!$B:$B,Лист1!$B463)</f>
        <v>585</v>
      </c>
      <c r="H463" s="13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SUMIFS(Лист2!$C:$C,Лист2!$A:$A,Лист1!$A464,Лист2!$B:$B,Лист1!$B464)</f>
        <v>17</v>
      </c>
      <c r="F464" s="7">
        <f>SUMIFS(Лист2!$D:$D,Лист2!$A:$A,Лист1!$A464,Лист2!$B:$B,Лист1!$B464)</f>
        <v>1296</v>
      </c>
      <c r="G464" s="7">
        <f>SUMIFS(Лист2!$E:$E,Лист2!$A:$A,Лист1!$A464,Лист2!$B:$B,Лист1!$B464)</f>
        <v>1153</v>
      </c>
      <c r="H464" s="13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SUMIFS(Лист2!$C:$C,Лист2!$A:$A,Лист1!$A465,Лист2!$B:$B,Лист1!$B465)</f>
        <v>15</v>
      </c>
      <c r="F465" s="7">
        <f>SUMIFS(Лист2!$D:$D,Лист2!$A:$A,Лист1!$A465,Лист2!$B:$B,Лист1!$B465)</f>
        <v>729</v>
      </c>
      <c r="G465" s="7">
        <f>SUMIFS(Лист2!$E:$E,Лист2!$A:$A,Лист1!$A465,Лист2!$B:$B,Лист1!$B465)</f>
        <v>636</v>
      </c>
      <c r="H465" s="13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SUMIFS(Лист2!$C:$C,Лист2!$A:$A,Лист1!$A466,Лист2!$B:$B,Лист1!$B466)</f>
        <v>15</v>
      </c>
      <c r="F466" s="7">
        <f>SUMIFS(Лист2!$D:$D,Лист2!$A:$A,Лист1!$A466,Лист2!$B:$B,Лист1!$B466)</f>
        <v>638</v>
      </c>
      <c r="G466" s="7">
        <f>SUMIFS(Лист2!$E:$E,Лист2!$A:$A,Лист1!$A466,Лист2!$B:$B,Лист1!$B466)</f>
        <v>548</v>
      </c>
      <c r="H466" s="13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SUMIFS(Лист2!$C:$C,Лист2!$A:$A,Лист1!$A467,Лист2!$B:$B,Лист1!$B467)</f>
        <v>15</v>
      </c>
      <c r="F467" s="7">
        <f>SUMIFS(Лист2!$D:$D,Лист2!$A:$A,Лист1!$A467,Лист2!$B:$B,Лист1!$B467)</f>
        <v>688</v>
      </c>
      <c r="G467" s="7">
        <f>SUMIFS(Лист2!$E:$E,Лист2!$A:$A,Лист1!$A467,Лист2!$B:$B,Лист1!$B467)</f>
        <v>598</v>
      </c>
      <c r="H467" s="13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SUMIFS(Лист2!$C:$C,Лист2!$A:$A,Лист1!$A468,Лист2!$B:$B,Лист1!$B468)</f>
        <v>20</v>
      </c>
      <c r="F468" s="7">
        <f>SUMIFS(Лист2!$D:$D,Лист2!$A:$A,Лист1!$A468,Лист2!$B:$B,Лист1!$B468)</f>
        <v>1873</v>
      </c>
      <c r="G468" s="7">
        <f>SUMIFS(Лист2!$E:$E,Лист2!$A:$A,Лист1!$A468,Лист2!$B:$B,Лист1!$B468)</f>
        <v>1715</v>
      </c>
      <c r="H468" s="13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SUMIFS(Лист2!$C:$C,Лист2!$A:$A,Лист1!$A469,Лист2!$B:$B,Лист1!$B469)</f>
        <v>19</v>
      </c>
      <c r="F469" s="7">
        <f>SUMIFS(Лист2!$D:$D,Лист2!$A:$A,Лист1!$A469,Лист2!$B:$B,Лист1!$B469)</f>
        <v>1859</v>
      </c>
      <c r="G469" s="7">
        <f>SUMIFS(Лист2!$E:$E,Лист2!$A:$A,Лист1!$A469,Лист2!$B:$B,Лист1!$B469)</f>
        <v>1697</v>
      </c>
      <c r="H469" s="13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SUMIFS(Лист2!$C:$C,Лист2!$A:$A,Лист1!$A470,Лист2!$B:$B,Лист1!$B470)</f>
        <v>21</v>
      </c>
      <c r="F470" s="7">
        <f>SUMIFS(Лист2!$D:$D,Лист2!$A:$A,Лист1!$A470,Лист2!$B:$B,Лист1!$B470)</f>
        <v>1879</v>
      </c>
      <c r="G470" s="7">
        <f>SUMIFS(Лист2!$E:$E,Лист2!$A:$A,Лист1!$A470,Лист2!$B:$B,Лист1!$B470)</f>
        <v>1720</v>
      </c>
      <c r="H470" s="13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SUMIFS(Лист2!$C:$C,Лист2!$A:$A,Лист1!$A471,Лист2!$B:$B,Лист1!$B471)</f>
        <v>19</v>
      </c>
      <c r="F471" s="7">
        <f>SUMIFS(Лист2!$D:$D,Лист2!$A:$A,Лист1!$A471,Лист2!$B:$B,Лист1!$B471)</f>
        <v>1527</v>
      </c>
      <c r="G471" s="7">
        <f>SUMIFS(Лист2!$E:$E,Лист2!$A:$A,Лист1!$A471,Лист2!$B:$B,Лист1!$B471)</f>
        <v>1389</v>
      </c>
      <c r="H471" s="13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SUMIFS(Лист2!$C:$C,Лист2!$A:$A,Лист1!$A472,Лист2!$B:$B,Лист1!$B472)</f>
        <v>16</v>
      </c>
      <c r="F472" s="7">
        <f>SUMIFS(Лист2!$D:$D,Лист2!$A:$A,Лист1!$A472,Лист2!$B:$B,Лист1!$B472)</f>
        <v>981</v>
      </c>
      <c r="G472" s="7">
        <f>SUMIFS(Лист2!$E:$E,Лист2!$A:$A,Лист1!$A472,Лист2!$B:$B,Лист1!$B472)</f>
        <v>859</v>
      </c>
      <c r="H472" s="13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SUMIFS(Лист2!$C:$C,Лист2!$A:$A,Лист1!$A473,Лист2!$B:$B,Лист1!$B473)</f>
        <v>19</v>
      </c>
      <c r="F473" s="7">
        <f>SUMIFS(Лист2!$D:$D,Лист2!$A:$A,Лист1!$A473,Лист2!$B:$B,Лист1!$B473)</f>
        <v>1741</v>
      </c>
      <c r="G473" s="7">
        <f>SUMIFS(Лист2!$E:$E,Лист2!$A:$A,Лист1!$A473,Лист2!$B:$B,Лист1!$B473)</f>
        <v>1597</v>
      </c>
      <c r="H473" s="1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SUMIFS(Лист2!$C:$C,Лист2!$A:$A,Лист1!$A474,Лист2!$B:$B,Лист1!$B474)</f>
        <v>19</v>
      </c>
      <c r="F474" s="7">
        <f>SUMIFS(Лист2!$D:$D,Лист2!$A:$A,Лист1!$A474,Лист2!$B:$B,Лист1!$B474)</f>
        <v>1635</v>
      </c>
      <c r="G474" s="7">
        <f>SUMIFS(Лист2!$E:$E,Лист2!$A:$A,Лист1!$A474,Лист2!$B:$B,Лист1!$B474)</f>
        <v>1487</v>
      </c>
      <c r="H474" s="13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SUMIFS(Лист2!$C:$C,Лист2!$A:$A,Лист1!$A475,Лист2!$B:$B,Лист1!$B475)</f>
        <v>19</v>
      </c>
      <c r="F475" s="7">
        <f>SUMIFS(Лист2!$D:$D,Лист2!$A:$A,Лист1!$A475,Лист2!$B:$B,Лист1!$B475)</f>
        <v>1780</v>
      </c>
      <c r="G475" s="7">
        <f>SUMIFS(Лист2!$E:$E,Лист2!$A:$A,Лист1!$A475,Лист2!$B:$B,Лист1!$B475)</f>
        <v>1615</v>
      </c>
      <c r="H475" s="13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SUMIFS(Лист2!$C:$C,Лист2!$A:$A,Лист1!$A476,Лист2!$B:$B,Лист1!$B476)</f>
        <v>20</v>
      </c>
      <c r="F476" s="7">
        <f>SUMIFS(Лист2!$D:$D,Лист2!$A:$A,Лист1!$A476,Лист2!$B:$B,Лист1!$B476)</f>
        <v>2064</v>
      </c>
      <c r="G476" s="7">
        <f>SUMIFS(Лист2!$E:$E,Лист2!$A:$A,Лист1!$A476,Лист2!$B:$B,Лист1!$B476)</f>
        <v>1896</v>
      </c>
      <c r="H476" s="13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SUMIFS(Лист2!$C:$C,Лист2!$A:$A,Лист1!$A477,Лист2!$B:$B,Лист1!$B477)</f>
        <v>59</v>
      </c>
      <c r="F477" s="7">
        <f>SUMIFS(Лист2!$D:$D,Лист2!$A:$A,Лист1!$A477,Лист2!$B:$B,Лист1!$B477)</f>
        <v>13942</v>
      </c>
      <c r="G477" s="7">
        <f>SUMIFS(Лист2!$E:$E,Лист2!$A:$A,Лист1!$A477,Лист2!$B:$B,Лист1!$B477)</f>
        <v>12986</v>
      </c>
      <c r="H477" s="13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SUMIFS(Лист2!$C:$C,Лист2!$A:$A,Лист1!$A478,Лист2!$B:$B,Лист1!$B478)</f>
        <v>60</v>
      </c>
      <c r="F478" s="7">
        <f>SUMIFS(Лист2!$D:$D,Лист2!$A:$A,Лист1!$A478,Лист2!$B:$B,Лист1!$B478)</f>
        <v>14050</v>
      </c>
      <c r="G478" s="7">
        <f>SUMIFS(Лист2!$E:$E,Лист2!$A:$A,Лист1!$A478,Лист2!$B:$B,Лист1!$B478)</f>
        <v>13027</v>
      </c>
      <c r="H478" s="13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SUMIFS(Лист2!$C:$C,Лист2!$A:$A,Лист1!$A479,Лист2!$B:$B,Лист1!$B479)</f>
        <v>59</v>
      </c>
      <c r="F479" s="7">
        <f>SUMIFS(Лист2!$D:$D,Лист2!$A:$A,Лист1!$A479,Лист2!$B:$B,Лист1!$B479)</f>
        <v>12299</v>
      </c>
      <c r="G479" s="7">
        <f>SUMIFS(Лист2!$E:$E,Лист2!$A:$A,Лист1!$A479,Лист2!$B:$B,Лист1!$B479)</f>
        <v>11448</v>
      </c>
      <c r="H479" s="13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SUMIFS(Лист2!$C:$C,Лист2!$A:$A,Лист1!$A480,Лист2!$B:$B,Лист1!$B480)</f>
        <v>60</v>
      </c>
      <c r="F480" s="7">
        <f>SUMIFS(Лист2!$D:$D,Лист2!$A:$A,Лист1!$A480,Лист2!$B:$B,Лист1!$B480)</f>
        <v>11100</v>
      </c>
      <c r="G480" s="7">
        <f>SUMIFS(Лист2!$E:$E,Лист2!$A:$A,Лист1!$A480,Лист2!$B:$B,Лист1!$B480)</f>
        <v>10407</v>
      </c>
      <c r="H480" s="13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SUMIFS(Лист2!$C:$C,Лист2!$A:$A,Лист1!$A481,Лист2!$B:$B,Лист1!$B481)</f>
        <v>60</v>
      </c>
      <c r="F481" s="7">
        <f>SUMIFS(Лист2!$D:$D,Лист2!$A:$A,Лист1!$A481,Лист2!$B:$B,Лист1!$B481)</f>
        <v>12460</v>
      </c>
      <c r="G481" s="7">
        <f>SUMIFS(Лист2!$E:$E,Лист2!$A:$A,Лист1!$A481,Лист2!$B:$B,Лист1!$B481)</f>
        <v>11665</v>
      </c>
      <c r="H481" s="13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SUMIFS(Лист2!$C:$C,Лист2!$A:$A,Лист1!$A482,Лист2!$B:$B,Лист1!$B482)</f>
        <v>60</v>
      </c>
      <c r="F482" s="7">
        <f>SUMIFS(Лист2!$D:$D,Лист2!$A:$A,Лист1!$A482,Лист2!$B:$B,Лист1!$B482)</f>
        <v>11935</v>
      </c>
      <c r="G482" s="7">
        <f>SUMIFS(Лист2!$E:$E,Лист2!$A:$A,Лист1!$A482,Лист2!$B:$B,Лист1!$B482)</f>
        <v>11178</v>
      </c>
      <c r="H482" s="13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SUMIFS(Лист2!$C:$C,Лист2!$A:$A,Лист1!$A483,Лист2!$B:$B,Лист1!$B483)</f>
        <v>60</v>
      </c>
      <c r="F483" s="7">
        <f>SUMIFS(Лист2!$D:$D,Лист2!$A:$A,Лист1!$A483,Лист2!$B:$B,Лист1!$B483)</f>
        <v>13544</v>
      </c>
      <c r="G483" s="7">
        <f>SUMIFS(Лист2!$E:$E,Лист2!$A:$A,Лист1!$A483,Лист2!$B:$B,Лист1!$B483)</f>
        <v>12643</v>
      </c>
      <c r="H483" s="1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SUMIFS(Лист2!$C:$C,Лист2!$A:$A,Лист1!$A484,Лист2!$B:$B,Лист1!$B484)</f>
        <v>54</v>
      </c>
      <c r="F484" s="7">
        <f>SUMIFS(Лист2!$D:$D,Лист2!$A:$A,Лист1!$A484,Лист2!$B:$B,Лист1!$B484)</f>
        <v>13091</v>
      </c>
      <c r="G484" s="7">
        <f>SUMIFS(Лист2!$E:$E,Лист2!$A:$A,Лист1!$A484,Лист2!$B:$B,Лист1!$B484)</f>
        <v>12216</v>
      </c>
      <c r="H484" s="13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SUMIFS(Лист2!$C:$C,Лист2!$A:$A,Лист1!$A485,Лист2!$B:$B,Лист1!$B485)</f>
        <v>54</v>
      </c>
      <c r="F485" s="7">
        <f>SUMIFS(Лист2!$D:$D,Лист2!$A:$A,Лист1!$A485,Лист2!$B:$B,Лист1!$B485)</f>
        <v>13014</v>
      </c>
      <c r="G485" s="7">
        <f>SUMIFS(Лист2!$E:$E,Лист2!$A:$A,Лист1!$A485,Лист2!$B:$B,Лист1!$B485)</f>
        <v>12095</v>
      </c>
      <c r="H485" s="13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SUMIFS(Лист2!$C:$C,Лист2!$A:$A,Лист1!$A486,Лист2!$B:$B,Лист1!$B486)</f>
        <v>54</v>
      </c>
      <c r="F486" s="7">
        <f>SUMIFS(Лист2!$D:$D,Лист2!$A:$A,Лист1!$A486,Лист2!$B:$B,Лист1!$B486)</f>
        <v>11864</v>
      </c>
      <c r="G486" s="7">
        <f>SUMIFS(Лист2!$E:$E,Лист2!$A:$A,Лист1!$A486,Лист2!$B:$B,Лист1!$B486)</f>
        <v>11071</v>
      </c>
      <c r="H486" s="13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SUMIFS(Лист2!$C:$C,Лист2!$A:$A,Лист1!$A487,Лист2!$B:$B,Лист1!$B487)</f>
        <v>54</v>
      </c>
      <c r="F487" s="7">
        <f>SUMIFS(Лист2!$D:$D,Лист2!$A:$A,Лист1!$A487,Лист2!$B:$B,Лист1!$B487)</f>
        <v>10570</v>
      </c>
      <c r="G487" s="7">
        <f>SUMIFS(Лист2!$E:$E,Лист2!$A:$A,Лист1!$A487,Лист2!$B:$B,Лист1!$B487)</f>
        <v>9926</v>
      </c>
      <c r="H487" s="13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SUMIFS(Лист2!$C:$C,Лист2!$A:$A,Лист1!$A488,Лист2!$B:$B,Лист1!$B488)</f>
        <v>59</v>
      </c>
      <c r="F488" s="7">
        <f>SUMIFS(Лист2!$D:$D,Лист2!$A:$A,Лист1!$A488,Лист2!$B:$B,Лист1!$B488)</f>
        <v>14507</v>
      </c>
      <c r="G488" s="7">
        <f>SUMIFS(Лист2!$E:$E,Лист2!$A:$A,Лист1!$A488,Лист2!$B:$B,Лист1!$B488)</f>
        <v>13386</v>
      </c>
      <c r="H488" s="13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SUMIFS(Лист2!$C:$C,Лист2!$A:$A,Лист1!$A489,Лист2!$B:$B,Лист1!$B489)</f>
        <v>54</v>
      </c>
      <c r="F489" s="7">
        <f>SUMIFS(Лист2!$D:$D,Лист2!$A:$A,Лист1!$A489,Лист2!$B:$B,Лист1!$B489)</f>
        <v>12012</v>
      </c>
      <c r="G489" s="7">
        <f>SUMIFS(Лист2!$E:$E,Лист2!$A:$A,Лист1!$A489,Лист2!$B:$B,Лист1!$B489)</f>
        <v>11308</v>
      </c>
      <c r="H489" s="13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SUMIFS(Лист2!$C:$C,Лист2!$A:$A,Лист1!$A490,Лист2!$B:$B,Лист1!$B490)</f>
        <v>54</v>
      </c>
      <c r="F490" s="7">
        <f>SUMIFS(Лист2!$D:$D,Лист2!$A:$A,Лист1!$A490,Лист2!$B:$B,Лист1!$B490)</f>
        <v>11194</v>
      </c>
      <c r="G490" s="7">
        <f>SUMIFS(Лист2!$E:$E,Лист2!$A:$A,Лист1!$A490,Лист2!$B:$B,Лист1!$B490)</f>
        <v>10554</v>
      </c>
      <c r="H490" s="13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SUMIFS(Лист2!$C:$C,Лист2!$A:$A,Лист1!$A491,Лист2!$B:$B,Лист1!$B491)</f>
        <v>54</v>
      </c>
      <c r="F491" s="7">
        <f>SUMIFS(Лист2!$D:$D,Лист2!$A:$A,Лист1!$A491,Лист2!$B:$B,Лист1!$B491)</f>
        <v>12791</v>
      </c>
      <c r="G491" s="7">
        <f>SUMIFS(Лист2!$E:$E,Лист2!$A:$A,Лист1!$A491,Лист2!$B:$B,Лист1!$B491)</f>
        <v>11950</v>
      </c>
      <c r="H491" s="13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SUMIFS(Лист2!$C:$C,Лист2!$A:$A,Лист1!$A492,Лист2!$B:$B,Лист1!$B492)</f>
        <v>54</v>
      </c>
      <c r="F492" s="7">
        <f>SUMIFS(Лист2!$D:$D,Лист2!$A:$A,Лист1!$A492,Лист2!$B:$B,Лист1!$B492)</f>
        <v>14031</v>
      </c>
      <c r="G492" s="7">
        <f>SUMIFS(Лист2!$E:$E,Лист2!$A:$A,Лист1!$A492,Лист2!$B:$B,Лист1!$B492)</f>
        <v>12943</v>
      </c>
      <c r="H492" s="13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SUMIFS(Лист2!$C:$C,Лист2!$A:$A,Лист1!$A493,Лист2!$B:$B,Лист1!$B493)</f>
        <v>7</v>
      </c>
      <c r="F493" s="7">
        <f>SUMIFS(Лист2!$D:$D,Лист2!$A:$A,Лист1!$A493,Лист2!$B:$B,Лист1!$B493)</f>
        <v>409</v>
      </c>
      <c r="G493" s="7">
        <f>SUMIFS(Лист2!$E:$E,Лист2!$A:$A,Лист1!$A493,Лист2!$B:$B,Лист1!$B493)</f>
        <v>329</v>
      </c>
      <c r="H493" s="1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SUMIFS(Лист2!$C:$C,Лист2!$A:$A,Лист1!$A494,Лист2!$B:$B,Лист1!$B494)</f>
        <v>18</v>
      </c>
      <c r="F494" s="7">
        <f>SUMIFS(Лист2!$D:$D,Лист2!$A:$A,Лист1!$A494,Лист2!$B:$B,Лист1!$B494)</f>
        <v>985</v>
      </c>
      <c r="G494" s="7">
        <f>SUMIFS(Лист2!$E:$E,Лист2!$A:$A,Лист1!$A494,Лист2!$B:$B,Лист1!$B494)</f>
        <v>861</v>
      </c>
      <c r="H494" s="13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SUMIFS(Лист2!$C:$C,Лист2!$A:$A,Лист1!$A495,Лист2!$B:$B,Лист1!$B495)</f>
        <v>9</v>
      </c>
      <c r="F495" s="7">
        <f>SUMIFS(Лист2!$D:$D,Лист2!$A:$A,Лист1!$A495,Лист2!$B:$B,Лист1!$B495)</f>
        <v>294</v>
      </c>
      <c r="G495" s="7">
        <f>SUMIFS(Лист2!$E:$E,Лист2!$A:$A,Лист1!$A495,Лист2!$B:$B,Лист1!$B495)</f>
        <v>224</v>
      </c>
      <c r="H495" s="13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SUMIFS(Лист2!$C:$C,Лист2!$A:$A,Лист1!$A496,Лист2!$B:$B,Лист1!$B496)</f>
        <v>15</v>
      </c>
      <c r="F496" s="7">
        <f>SUMIFS(Лист2!$D:$D,Лист2!$A:$A,Лист1!$A496,Лист2!$B:$B,Лист1!$B496)</f>
        <v>654</v>
      </c>
      <c r="G496" s="7">
        <f>SUMIFS(Лист2!$E:$E,Лист2!$A:$A,Лист1!$A496,Лист2!$B:$B,Лист1!$B496)</f>
        <v>564</v>
      </c>
      <c r="H496" s="13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SUMIFS(Лист2!$C:$C,Лист2!$A:$A,Лист1!$A497,Лист2!$B:$B,Лист1!$B497)</f>
        <v>16</v>
      </c>
      <c r="F497" s="7">
        <f>SUMIFS(Лист2!$D:$D,Лист2!$A:$A,Лист1!$A497,Лист2!$B:$B,Лист1!$B497)</f>
        <v>864</v>
      </c>
      <c r="G497" s="7">
        <f>SUMIFS(Лист2!$E:$E,Лист2!$A:$A,Лист1!$A497,Лист2!$B:$B,Лист1!$B497)</f>
        <v>765</v>
      </c>
      <c r="H497" s="13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SUMIFS(Лист2!$C:$C,Лист2!$A:$A,Лист1!$A498,Лист2!$B:$B,Лист1!$B498)</f>
        <v>16</v>
      </c>
      <c r="F498" s="7">
        <f>SUMIFS(Лист2!$D:$D,Лист2!$A:$A,Лист1!$A498,Лист2!$B:$B,Лист1!$B498)</f>
        <v>834</v>
      </c>
      <c r="G498" s="7">
        <f>SUMIFS(Лист2!$E:$E,Лист2!$A:$A,Лист1!$A498,Лист2!$B:$B,Лист1!$B498)</f>
        <v>735</v>
      </c>
      <c r="H498" s="13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SUMIFS(Лист2!$C:$C,Лист2!$A:$A,Лист1!$A499,Лист2!$B:$B,Лист1!$B499)</f>
        <v>16</v>
      </c>
      <c r="F499" s="7">
        <f>SUMIFS(Лист2!$D:$D,Лист2!$A:$A,Лист1!$A499,Лист2!$B:$B,Лист1!$B499)</f>
        <v>817</v>
      </c>
      <c r="G499" s="7">
        <f>SUMIFS(Лист2!$E:$E,Лист2!$A:$A,Лист1!$A499,Лист2!$B:$B,Лист1!$B499)</f>
        <v>718</v>
      </c>
      <c r="H499" s="13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SUMIFS(Лист2!$C:$C,Лист2!$A:$A,Лист1!$A500,Лист2!$B:$B,Лист1!$B500)</f>
        <v>18</v>
      </c>
      <c r="F500" s="7">
        <f>SUMIFS(Лист2!$D:$D,Лист2!$A:$A,Лист1!$A500,Лист2!$B:$B,Лист1!$B500)</f>
        <v>962</v>
      </c>
      <c r="G500" s="7">
        <f>SUMIFS(Лист2!$E:$E,Лист2!$A:$A,Лист1!$A500,Лист2!$B:$B,Лист1!$B500)</f>
        <v>859</v>
      </c>
      <c r="H500" s="13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SUMIFS(Лист2!$C:$C,Лист2!$A:$A,Лист1!$A501,Лист2!$B:$B,Лист1!$B501)</f>
        <v>6</v>
      </c>
      <c r="F501" s="7">
        <f>SUMIFS(Лист2!$D:$D,Лист2!$A:$A,Лист1!$A501,Лист2!$B:$B,Лист1!$B501)</f>
        <v>237</v>
      </c>
      <c r="G501" s="7">
        <f>SUMIFS(Лист2!$E:$E,Лист2!$A:$A,Лист1!$A501,Лист2!$B:$B,Лист1!$B501)</f>
        <v>175</v>
      </c>
      <c r="H501" s="13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SUMIFS(Лист2!$C:$C,Лист2!$A:$A,Лист1!$A502,Лист2!$B:$B,Лист1!$B502)</f>
        <v>7</v>
      </c>
      <c r="F502" s="7">
        <f>SUMIFS(Лист2!$D:$D,Лист2!$A:$A,Лист1!$A502,Лист2!$B:$B,Лист1!$B502)</f>
        <v>491</v>
      </c>
      <c r="G502" s="7">
        <f>SUMIFS(Лист2!$E:$E,Лист2!$A:$A,Лист1!$A502,Лист2!$B:$B,Лист1!$B502)</f>
        <v>411</v>
      </c>
      <c r="H502" s="13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SUMIFS(Лист2!$C:$C,Лист2!$A:$A,Лист1!$A503,Лист2!$B:$B,Лист1!$B503)</f>
        <v>7</v>
      </c>
      <c r="F503" s="7">
        <f>SUMIFS(Лист2!$D:$D,Лист2!$A:$A,Лист1!$A503,Лист2!$B:$B,Лист1!$B503)</f>
        <v>500</v>
      </c>
      <c r="G503" s="7">
        <f>SUMIFS(Лист2!$E:$E,Лист2!$A:$A,Лист1!$A503,Лист2!$B:$B,Лист1!$B503)</f>
        <v>418</v>
      </c>
      <c r="H503" s="1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SUMIFS(Лист2!$C:$C,Лист2!$A:$A,Лист1!$A504,Лист2!$B:$B,Лист1!$B504)</f>
        <v>18</v>
      </c>
      <c r="F504" s="7">
        <f>SUMIFS(Лист2!$D:$D,Лист2!$A:$A,Лист1!$A504,Лист2!$B:$B,Лист1!$B504)</f>
        <v>1014</v>
      </c>
      <c r="G504" s="7">
        <f>SUMIFS(Лист2!$E:$E,Лист2!$A:$A,Лист1!$A504,Лист2!$B:$B,Лист1!$B504)</f>
        <v>893</v>
      </c>
      <c r="H504" s="13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SUMIFS(Лист2!$C:$C,Лист2!$A:$A,Лист1!$A505,Лист2!$B:$B,Лист1!$B505)</f>
        <v>18</v>
      </c>
      <c r="F505" s="7">
        <f>SUMIFS(Лист2!$D:$D,Лист2!$A:$A,Лист1!$A505,Лист2!$B:$B,Лист1!$B505)</f>
        <v>923</v>
      </c>
      <c r="G505" s="7">
        <f>SUMIFS(Лист2!$E:$E,Лист2!$A:$A,Лист1!$A505,Лист2!$B:$B,Лист1!$B505)</f>
        <v>824</v>
      </c>
      <c r="H505" s="13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112" sqref="B11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1.1</vt:lpstr>
      <vt:lpstr>1.2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Iliazbek Tileshbaev</cp:lastModifiedBy>
  <dcterms:created xsi:type="dcterms:W3CDTF">2021-09-13T10:17:58Z</dcterms:created>
  <dcterms:modified xsi:type="dcterms:W3CDTF">2026-09-28T10:47:25Z</dcterms:modified>
</cp:coreProperties>
</file>